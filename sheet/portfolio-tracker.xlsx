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tings" sheetId="2" state="visible" r:id="rId4"/>
    <sheet name="Transactions" sheetId="3" state="visible" r:id="rId5"/>
    <sheet name="Prices" sheetId="4" state="visible" r:id="rId6"/>
    <sheet name="FX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<sst xmlns="http://schemas.openxmlformats.org/spreadsheetml/2006/main" count="61" uniqueCount="52">
  <si>
    <t xml:space="preserve">Portfolio tracker – sheet structure</t>
  </si>
  <si>
    <t xml:space="preserve">TABS</t>
  </si>
  <si>
    <t xml:space="preserve">Transactions  – YOU enter one row per buy (or sell). Yellow cells are yours to fill.</t>
  </si>
  <si>
    <t xml:space="preserve">Prices        – filled automatically by the script every evening (date, ticker, close in USD).</t>
  </si>
  <si>
    <t xml:space="preserve">FX            – filled automatically by the script (date, USD→EUR rate from the ECB).</t>
  </si>
  <si>
    <t xml:space="preserve">Summary       – formulas only, one row per price day: money put in, worth, difference. This is the only tab the web page reads.</t>
  </si>
  <si>
    <t xml:space="preserve">Settings      – ticker you track and the secret word the web page must send when adding a transaction.</t>
  </si>
  <si>
    <t xml:space="preserve">RULES</t>
  </si>
  <si>
    <t xml:space="preserve">• Dates are real dates (YYYY-MM-DD), not text.</t>
  </si>
  <si>
    <t xml:space="preserve">• 'EUR spent' is what left your EUR cash balance for the shares, WITHOUT the fee. Fee goes in its own column. Both count as 'money put in'.</t>
  </si>
  <si>
    <t xml:space="preserve">• A sell is a row with negative Shares and negative EUR spent (money came back).</t>
  </si>
  <si>
    <t xml:space="preserve">• Never type into Prices, FX or Summary – the script and the formulas own them.</t>
  </si>
  <si>
    <t xml:space="preserve">• Do not rename tabs or move columns: the script and the web page look for them by name/position.</t>
  </si>
  <si>
    <t xml:space="preserve">EXAMPLE ROWS</t>
  </si>
  <si>
    <t xml:space="preserve">Transactions, Prices and FX each contain one example row (grey italic). Replace them with your real data.</t>
  </si>
  <si>
    <t xml:space="preserve">SETUP (after importing this file into Google Sheets)</t>
  </si>
  <si>
    <t xml:space="preserve">1. Settings tab: keep VUAA (or change the ticker) and type your own secret word in B2.</t>
  </si>
  <si>
    <t xml:space="preserve">2. Extensions → Apps Script → paste the contents of Code.gs → Save.</t>
  </si>
  <si>
    <t xml:space="preserve">3. In Apps Script run the function 'fetchDaily' once by hand → allow permissions → check that Prices and FX got rows.</t>
  </si>
  <si>
    <t xml:space="preserve">4. Apps Script → Triggers (clock icon) → Add trigger: fetchDaily, time-driven, day timer, 7–8 pm.</t>
  </si>
  <si>
    <t xml:space="preserve">5. Apps Script → Deploy → New deployment → Web app → Execute as Me, Who has access: Anyone → copy the URL (this is where the page posts new transactions).</t>
  </si>
  <si>
    <t xml:space="preserve">6. File → Share → Publish to web → choose tab 'Summary', format CSV → copy the URL (this is where the page reads from).</t>
  </si>
  <si>
    <t xml:space="preserve">7. Put both URLs into the web page's settings.</t>
  </si>
  <si>
    <t xml:space="preserve">Ticker</t>
  </si>
  <si>
    <t xml:space="preserve">VUAA</t>
  </si>
  <si>
    <t xml:space="preserve">Ticker as written in Transactions and Prices</t>
  </si>
  <si>
    <t xml:space="preserve">Secret word</t>
  </si>
  <si>
    <t xml:space="preserve">change-me-to-something-long</t>
  </si>
  <si>
    <t xml:space="preserve">The web page sends this with every add/edit/delete; the script rejects requests without it</t>
  </si>
  <si>
    <t xml:space="preserve">Yahoo symbol</t>
  </si>
  <si>
    <t xml:space="preserve">VUAA.L</t>
  </si>
  <si>
    <t xml:space="preserve">Symbol the script asks Yahoo Finance for (London listing)</t>
  </si>
  <si>
    <t xml:space="preserve">Currency of the ticker</t>
  </si>
  <si>
    <t xml:space="preserve">USD</t>
  </si>
  <si>
    <t xml:space="preserve">Prices are stored in this currency and converted to EUR with the FX tab</t>
  </si>
  <si>
    <t xml:space="preserve">Date</t>
  </si>
  <si>
    <t xml:space="preserve">EUR spent</t>
  </si>
  <si>
    <t xml:space="preserve">Shares</t>
  </si>
  <si>
    <t xml:space="preserve">Price (USD)</t>
  </si>
  <si>
    <t xml:space="preserve">Fee (EUR)</t>
  </si>
  <si>
    <t xml:space="preserve">Note</t>
  </si>
  <si>
    <t xml:space="preserve">EXAMPLE – replace with your real buy</t>
  </si>
  <si>
    <t xml:space="preserve">Close (USD)</t>
  </si>
  <si>
    <t xml:space="preserve">Written by the script (fetchDaily). Example row shown; the script appends real closes below.</t>
  </si>
  <si>
    <t xml:space="preserve">USD→EUR</t>
  </si>
  <si>
    <t xml:space="preserve">Written by the script from the ECB daily rate. USD→EUR = 1 / (EUR→USD). Example row shown.</t>
  </si>
  <si>
    <t xml:space="preserve">Shares owned</t>
  </si>
  <si>
    <t xml:space="preserve">Money put in (EUR)</t>
  </si>
  <si>
    <t xml:space="preserve">Worth (EUR)</t>
  </si>
  <si>
    <t xml:space="preserve">Difference (EUR)</t>
  </si>
  <si>
    <t xml:space="preserve">Change since previous day (EUR)</t>
  </si>
  <si>
    <t xml:space="preserve">Formulas only – do not edit. One row per row in Prices. Money put in = EUR spent + fees up to that date. Worth = shares × price × USD→EUR. Rows are prepared down to row 1501 (≈6 years of trading days); copy the last row further down when you get there.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</si>
</sst>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E5E7EB"/>
        <bgColor rgb="FFFFF9C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23</v>
      </c>
      <c r="B1" s="3" t="s">
        <v>24</v>
      </c>
      <c r="C1" s="4" t="s">
        <v>25</v>
      </c>
    </row>
    <row r="2" customFormat="false" ht="15" hidden="false" customHeight="false" outlineLevel="0" collapsed="false">
      <c r="A2" s="1" t="s">
        <v>26</v>
      </c>
      <c r="B2" s="3" t="s">
        <v>27</v>
      </c>
      <c r="C2" s="4" t="s">
        <v>28</v>
      </c>
    </row>
    <row r="3" customFormat="false" ht="15" hidden="false" customHeight="false" outlineLevel="0" collapsed="false">
      <c r="A3" s="1" t="s">
        <v>29</v>
      </c>
      <c r="B3" s="3" t="s">
        <v>30</v>
      </c>
      <c r="C3" s="4" t="s">
        <v>31</v>
      </c>
    </row>
    <row r="4" customFormat="false" ht="15" hidden="false" customHeight="false" outlineLevel="0" collapsed="false">
      <c r="A4" s="1" t="s">
        <v>32</v>
      </c>
      <c r="B4" s="3" t="s">
        <v>33</v>
      </c>
      <c r="C4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5" t="s">
        <v>35</v>
      </c>
      <c r="B1" s="5" t="s">
        <v>23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</row>
    <row r="2" customFormat="false" ht="15" hidden="false" customHeight="false" outlineLevel="0" collapsed="false">
      <c r="A2" s="6" t="n">
        <v>46305</v>
      </c>
      <c r="B2" s="7" t="s">
        <v>24</v>
      </c>
      <c r="C2" s="7" t="n">
        <v>132.9</v>
      </c>
      <c r="D2" s="7" t="n">
        <v>1</v>
      </c>
      <c r="E2" s="7" t="n">
        <v>152.82</v>
      </c>
      <c r="F2" s="7" t="n">
        <v>1.25</v>
      </c>
      <c r="G2" s="7" t="s">
        <v>41</v>
      </c>
    </row>
    <row r="3" customFormat="false" ht="15" hidden="false" customHeight="false" outlineLevel="0" collapsed="false">
      <c r="A3" s="8"/>
      <c r="B3" s="9"/>
      <c r="C3" s="10"/>
      <c r="D3" s="9"/>
      <c r="E3" s="9"/>
      <c r="F3" s="9"/>
      <c r="G3" s="9"/>
    </row>
    <row r="4" customFormat="false" ht="15" hidden="false" customHeight="false" outlineLevel="0" collapsed="false">
      <c r="A4" s="8"/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8"/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8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8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8"/>
      <c r="B8" s="9"/>
      <c r="C8" s="9"/>
      <c r="D8" s="9"/>
      <c r="E8" s="9"/>
      <c r="F8" s="9"/>
      <c r="G8" s="9"/>
    </row>
    <row r="9" customFormat="false" ht="15" hidden="false" customHeight="false" outlineLevel="0" collapsed="false">
      <c r="A9" s="8"/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8"/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8"/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8"/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8"/>
      <c r="B13" s="9"/>
      <c r="C13" s="9"/>
      <c r="D13" s="9"/>
      <c r="E13" s="9"/>
      <c r="F13" s="9"/>
      <c r="G13" s="9"/>
    </row>
    <row r="14" customFormat="false" ht="15" hidden="false" customHeight="false" outlineLevel="0" collapsed="false">
      <c r="A14" s="8"/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8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8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8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8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8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8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8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8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8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8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8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8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8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8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8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8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8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8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8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8"/>
      <c r="B34" s="9"/>
      <c r="C34" s="9"/>
      <c r="D34" s="9"/>
      <c r="E34" s="9"/>
      <c r="F34" s="9"/>
      <c r="G34" s="9"/>
    </row>
    <row r="35" customFormat="false" ht="15" hidden="false" customHeight="false" outlineLevel="0" collapsed="false">
      <c r="A35" s="8"/>
      <c r="B35" s="9"/>
      <c r="C35" s="9"/>
      <c r="D35" s="9"/>
      <c r="E35" s="9"/>
      <c r="F35" s="9"/>
      <c r="G35" s="9"/>
    </row>
    <row r="36" customFormat="false" ht="15" hidden="false" customHeight="false" outlineLevel="0" collapsed="false">
      <c r="A36" s="8"/>
      <c r="B36" s="9"/>
      <c r="C36" s="9"/>
      <c r="D36" s="9"/>
      <c r="E36" s="9"/>
      <c r="F36" s="9"/>
      <c r="G36" s="9"/>
    </row>
    <row r="37" customFormat="false" ht="15" hidden="false" customHeight="false" outlineLevel="0" collapsed="false">
      <c r="A37" s="8"/>
      <c r="B37" s="9"/>
      <c r="C37" s="9"/>
      <c r="D37" s="9"/>
      <c r="E37" s="9"/>
      <c r="F37" s="9"/>
      <c r="G37" s="9"/>
    </row>
    <row r="38" customFormat="false" ht="15" hidden="false" customHeight="false" outlineLevel="0" collapsed="false">
      <c r="A38" s="8"/>
      <c r="B38" s="9"/>
      <c r="C38" s="9"/>
      <c r="D38" s="9"/>
      <c r="E38" s="9"/>
      <c r="F38" s="9"/>
      <c r="G38" s="9"/>
    </row>
    <row r="39" customFormat="false" ht="15" hidden="false" customHeight="false" outlineLevel="0" collapsed="false">
      <c r="A39" s="8"/>
      <c r="B39" s="9"/>
      <c r="C39" s="9"/>
      <c r="D39" s="9"/>
      <c r="E39" s="9"/>
      <c r="F39" s="9"/>
      <c r="G39" s="9"/>
    </row>
    <row r="40" customFormat="false" ht="15" hidden="false" customHeight="false" outlineLevel="0" collapsed="false">
      <c r="A40" s="8"/>
      <c r="B40" s="9"/>
      <c r="C40" s="9"/>
      <c r="D40" s="9"/>
      <c r="E40" s="9"/>
      <c r="F40" s="9"/>
      <c r="G40" s="9"/>
    </row>
    <row r="41" customFormat="false" ht="15" hidden="false" customHeight="false" outlineLevel="0" collapsed="false">
      <c r="A41" s="8"/>
      <c r="B41" s="9"/>
      <c r="C41" s="9"/>
      <c r="D41" s="9"/>
      <c r="E41" s="9"/>
      <c r="F41" s="9"/>
      <c r="G41" s="9"/>
    </row>
    <row r="42" customFormat="false" ht="15" hidden="false" customHeight="false" outlineLevel="0" collapsed="false">
      <c r="A42" s="8"/>
      <c r="B42" s="9"/>
      <c r="C42" s="9"/>
      <c r="D42" s="9"/>
      <c r="E42" s="9"/>
      <c r="F42" s="9"/>
      <c r="G42" s="9"/>
    </row>
    <row r="43" customFormat="false" ht="15" hidden="false" customHeight="false" outlineLevel="0" collapsed="false">
      <c r="A43" s="8"/>
      <c r="B43" s="9"/>
      <c r="C43" s="9"/>
      <c r="D43" s="9"/>
      <c r="E43" s="9"/>
      <c r="F43" s="9"/>
      <c r="G43" s="9"/>
    </row>
    <row r="44" customFormat="false" ht="15" hidden="false" customHeight="false" outlineLevel="0" collapsed="false">
      <c r="A44" s="8"/>
      <c r="B44" s="9"/>
      <c r="C44" s="9"/>
      <c r="D44" s="9"/>
      <c r="E44" s="9"/>
      <c r="F44" s="9"/>
      <c r="G44" s="9"/>
    </row>
    <row r="45" customFormat="false" ht="15" hidden="false" customHeight="false" outlineLevel="0" collapsed="false">
      <c r="A45" s="8"/>
      <c r="B45" s="9"/>
      <c r="C45" s="9"/>
      <c r="D45" s="9"/>
      <c r="E45" s="9"/>
      <c r="F45" s="9"/>
      <c r="G45" s="9"/>
    </row>
    <row r="46" customFormat="false" ht="15" hidden="false" customHeight="false" outlineLevel="0" collapsed="false">
      <c r="A46" s="8"/>
      <c r="B46" s="9"/>
      <c r="C46" s="9"/>
      <c r="D46" s="9"/>
      <c r="E46" s="9"/>
      <c r="F46" s="9"/>
      <c r="G46" s="9"/>
    </row>
    <row r="47" customFormat="false" ht="15" hidden="false" customHeight="false" outlineLevel="0" collapsed="false">
      <c r="A47" s="8"/>
      <c r="B47" s="9"/>
      <c r="C47" s="9"/>
      <c r="D47" s="9"/>
      <c r="E47" s="9"/>
      <c r="F47" s="9"/>
      <c r="G47" s="9"/>
    </row>
    <row r="48" customFormat="false" ht="15" hidden="false" customHeight="false" outlineLevel="0" collapsed="false">
      <c r="A48" s="8"/>
      <c r="B48" s="9"/>
      <c r="C48" s="9"/>
      <c r="D48" s="9"/>
      <c r="E48" s="9"/>
      <c r="F48" s="9"/>
      <c r="G48" s="9"/>
    </row>
    <row r="49" customFormat="false" ht="15" hidden="false" customHeight="false" outlineLevel="0" collapsed="false">
      <c r="A49" s="8"/>
      <c r="B49" s="9"/>
      <c r="C49" s="9"/>
      <c r="D49" s="9"/>
      <c r="E49" s="9"/>
      <c r="F49" s="9"/>
      <c r="G49" s="9"/>
    </row>
    <row r="50" customFormat="false" ht="15" hidden="false" customHeight="false" outlineLevel="0" collapsed="false">
      <c r="A50" s="8"/>
      <c r="B50" s="9"/>
      <c r="C50" s="9"/>
      <c r="D50" s="9"/>
      <c r="E50" s="9"/>
      <c r="F50" s="9"/>
      <c r="G50" s="9"/>
    </row>
    <row r="51" customFormat="false" ht="15" hidden="false" customHeight="false" outlineLevel="0" collapsed="false">
      <c r="A51" s="8"/>
      <c r="B51" s="9"/>
      <c r="C51" s="9"/>
      <c r="D51" s="9"/>
      <c r="E51" s="9"/>
      <c r="F51" s="9"/>
      <c r="G51" s="9"/>
    </row>
    <row r="52" customFormat="false" ht="15" hidden="false" customHeight="false" outlineLevel="0" collapsed="false">
      <c r="A52" s="8"/>
      <c r="B52" s="9"/>
      <c r="C52" s="9"/>
      <c r="D52" s="9"/>
      <c r="E52" s="9"/>
      <c r="F52" s="9"/>
      <c r="G52" s="9"/>
    </row>
    <row r="53" customFormat="false" ht="15" hidden="false" customHeight="false" outlineLevel="0" collapsed="false">
      <c r="A53" s="8"/>
      <c r="B53" s="9"/>
      <c r="C53" s="9"/>
      <c r="D53" s="9"/>
      <c r="E53" s="9"/>
      <c r="F53" s="9"/>
      <c r="G53" s="9"/>
    </row>
    <row r="54" customFormat="false" ht="15" hidden="false" customHeight="false" outlineLevel="0" collapsed="false">
      <c r="A54" s="8"/>
      <c r="B54" s="9"/>
      <c r="C54" s="9"/>
      <c r="D54" s="9"/>
      <c r="E54" s="9"/>
      <c r="F54" s="9"/>
      <c r="G54" s="9"/>
    </row>
    <row r="55" customFormat="false" ht="15" hidden="false" customHeight="false" outlineLevel="0" collapsed="false">
      <c r="A55" s="8"/>
      <c r="B55" s="9"/>
      <c r="C55" s="9"/>
      <c r="D55" s="9"/>
      <c r="E55" s="9"/>
      <c r="F55" s="9"/>
      <c r="G55" s="9"/>
    </row>
    <row r="56" customFormat="false" ht="15" hidden="false" customHeight="false" outlineLevel="0" collapsed="false">
      <c r="A56" s="8"/>
      <c r="B56" s="9"/>
      <c r="C56" s="9"/>
      <c r="D56" s="9"/>
      <c r="E56" s="9"/>
      <c r="F56" s="9"/>
      <c r="G56" s="9"/>
    </row>
    <row r="57" customFormat="false" ht="15" hidden="false" customHeight="false" outlineLevel="0" collapsed="false">
      <c r="A57" s="8"/>
      <c r="B57" s="9"/>
      <c r="C57" s="9"/>
      <c r="D57" s="9"/>
      <c r="E57" s="9"/>
      <c r="F57" s="9"/>
      <c r="G57" s="9"/>
    </row>
    <row r="58" customFormat="false" ht="15" hidden="false" customHeight="false" outlineLevel="0" collapsed="false">
      <c r="A58" s="8"/>
      <c r="B58" s="9"/>
      <c r="C58" s="9"/>
      <c r="D58" s="9"/>
      <c r="E58" s="9"/>
      <c r="F58" s="9"/>
      <c r="G58" s="9"/>
    </row>
    <row r="59" customFormat="false" ht="15" hidden="false" customHeight="false" outlineLevel="0" collapsed="false">
      <c r="A59" s="8"/>
      <c r="B59" s="9"/>
      <c r="C59" s="9"/>
      <c r="D59" s="9"/>
      <c r="E59" s="9"/>
      <c r="F59" s="9"/>
      <c r="G59" s="9"/>
    </row>
    <row r="60" customFormat="false" ht="15" hidden="false" customHeight="false" outlineLevel="0" collapsed="false">
      <c r="A60" s="8"/>
      <c r="B60" s="9"/>
      <c r="C60" s="9"/>
      <c r="D60" s="9"/>
      <c r="E60" s="9"/>
      <c r="F60" s="9"/>
      <c r="G60" s="9"/>
    </row>
    <row r="61" customFormat="false" ht="15" hidden="false" customHeight="false" outlineLevel="0" collapsed="false">
      <c r="A61" s="8"/>
      <c r="B61" s="9"/>
      <c r="C61" s="9"/>
      <c r="D61" s="9"/>
      <c r="E61" s="9"/>
      <c r="F61" s="9"/>
      <c r="G61" s="9"/>
    </row>
    <row r="62" customFormat="false" ht="15" hidden="false" customHeight="false" outlineLevel="0" collapsed="false">
      <c r="A62" s="8"/>
      <c r="B62" s="9"/>
      <c r="C62" s="9"/>
      <c r="D62" s="9"/>
      <c r="E62" s="9"/>
      <c r="F62" s="9"/>
      <c r="G62" s="9"/>
    </row>
    <row r="63" customFormat="false" ht="15" hidden="false" customHeight="false" outlineLevel="0" collapsed="false">
      <c r="A63" s="8"/>
      <c r="B63" s="9"/>
      <c r="C63" s="9"/>
      <c r="D63" s="9"/>
      <c r="E63" s="9"/>
      <c r="F63" s="9"/>
      <c r="G63" s="9"/>
    </row>
    <row r="64" customFormat="false" ht="15" hidden="false" customHeight="false" outlineLevel="0" collapsed="false">
      <c r="A64" s="8"/>
      <c r="B64" s="9"/>
      <c r="C64" s="9"/>
      <c r="D64" s="9"/>
      <c r="E64" s="9"/>
      <c r="F64" s="9"/>
      <c r="G64" s="9"/>
    </row>
    <row r="65" customFormat="false" ht="15" hidden="false" customHeight="false" outlineLevel="0" collapsed="false">
      <c r="A65" s="8"/>
      <c r="B65" s="9"/>
      <c r="C65" s="9"/>
      <c r="D65" s="9"/>
      <c r="E65" s="9"/>
      <c r="F65" s="9"/>
      <c r="G65" s="9"/>
    </row>
    <row r="66" customFormat="false" ht="15" hidden="false" customHeight="false" outlineLevel="0" collapsed="false">
      <c r="A66" s="8"/>
      <c r="B66" s="9"/>
      <c r="C66" s="9"/>
      <c r="D66" s="9"/>
      <c r="E66" s="9"/>
      <c r="F66" s="9"/>
      <c r="G66" s="9"/>
    </row>
    <row r="67" customFormat="false" ht="15" hidden="false" customHeight="false" outlineLevel="0" collapsed="false">
      <c r="A67" s="8"/>
      <c r="B67" s="9"/>
      <c r="C67" s="9"/>
      <c r="D67" s="9"/>
      <c r="E67" s="9"/>
      <c r="F67" s="9"/>
      <c r="G67" s="9"/>
    </row>
    <row r="68" customFormat="false" ht="15" hidden="false" customHeight="false" outlineLevel="0" collapsed="false">
      <c r="A68" s="8"/>
      <c r="B68" s="9"/>
      <c r="C68" s="9"/>
      <c r="D68" s="9"/>
      <c r="E68" s="9"/>
      <c r="F68" s="9"/>
      <c r="G68" s="9"/>
    </row>
    <row r="69" customFormat="false" ht="15" hidden="false" customHeight="false" outlineLevel="0" collapsed="false">
      <c r="A69" s="8"/>
      <c r="B69" s="9"/>
      <c r="C69" s="9"/>
      <c r="D69" s="9"/>
      <c r="E69" s="9"/>
      <c r="F69" s="9"/>
      <c r="G69" s="9"/>
    </row>
    <row r="70" customFormat="false" ht="15" hidden="false" customHeight="false" outlineLevel="0" collapsed="false">
      <c r="A70" s="8"/>
      <c r="B70" s="9"/>
      <c r="C70" s="9"/>
      <c r="D70" s="9"/>
      <c r="E70" s="9"/>
      <c r="F70" s="9"/>
      <c r="G70" s="9"/>
    </row>
    <row r="71" customFormat="false" ht="15" hidden="false" customHeight="false" outlineLevel="0" collapsed="false">
      <c r="A71" s="8"/>
      <c r="B71" s="9"/>
      <c r="C71" s="9"/>
      <c r="D71" s="9"/>
      <c r="E71" s="9"/>
      <c r="F71" s="9"/>
      <c r="G71" s="9"/>
    </row>
    <row r="72" customFormat="false" ht="15" hidden="false" customHeight="false" outlineLevel="0" collapsed="false">
      <c r="A72" s="8"/>
      <c r="B72" s="9"/>
      <c r="C72" s="9"/>
      <c r="D72" s="9"/>
      <c r="E72" s="9"/>
      <c r="F72" s="9"/>
      <c r="G72" s="9"/>
    </row>
    <row r="73" customFormat="false" ht="15" hidden="false" customHeight="false" outlineLevel="0" collapsed="false">
      <c r="A73" s="8"/>
      <c r="B73" s="9"/>
      <c r="C73" s="9"/>
      <c r="D73" s="9"/>
      <c r="E73" s="9"/>
      <c r="F73" s="9"/>
      <c r="G73" s="9"/>
    </row>
    <row r="74" customFormat="false" ht="15" hidden="false" customHeight="false" outlineLevel="0" collapsed="false">
      <c r="A74" s="8"/>
      <c r="B74" s="9"/>
      <c r="C74" s="9"/>
      <c r="D74" s="9"/>
      <c r="E74" s="9"/>
      <c r="F74" s="9"/>
      <c r="G74" s="9"/>
    </row>
    <row r="75" customFormat="false" ht="15" hidden="false" customHeight="false" outlineLevel="0" collapsed="false">
      <c r="A75" s="8"/>
      <c r="B75" s="9"/>
      <c r="C75" s="9"/>
      <c r="D75" s="9"/>
      <c r="E75" s="9"/>
      <c r="F75" s="9"/>
      <c r="G75" s="9"/>
    </row>
    <row r="76" customFormat="false" ht="15" hidden="false" customHeight="false" outlineLevel="0" collapsed="false">
      <c r="A76" s="8"/>
      <c r="B76" s="9"/>
      <c r="C76" s="9"/>
      <c r="D76" s="9"/>
      <c r="E76" s="9"/>
      <c r="F76" s="9"/>
      <c r="G76" s="9"/>
    </row>
    <row r="77" customFormat="false" ht="15" hidden="false" customHeight="false" outlineLevel="0" collapsed="false">
      <c r="A77" s="8"/>
      <c r="B77" s="9"/>
      <c r="C77" s="9"/>
      <c r="D77" s="9"/>
      <c r="E77" s="9"/>
      <c r="F77" s="9"/>
      <c r="G77" s="9"/>
    </row>
    <row r="78" customFormat="false" ht="15" hidden="false" customHeight="false" outlineLevel="0" collapsed="false">
      <c r="A78" s="8"/>
      <c r="B78" s="9"/>
      <c r="C78" s="9"/>
      <c r="D78" s="9"/>
      <c r="E78" s="9"/>
      <c r="F78" s="9"/>
      <c r="G78" s="9"/>
    </row>
    <row r="79" customFormat="false" ht="15" hidden="false" customHeight="false" outlineLevel="0" collapsed="false">
      <c r="A79" s="8"/>
      <c r="B79" s="9"/>
      <c r="C79" s="9"/>
      <c r="D79" s="9"/>
      <c r="E79" s="9"/>
      <c r="F79" s="9"/>
      <c r="G79" s="9"/>
    </row>
    <row r="80" customFormat="false" ht="15" hidden="false" customHeight="false" outlineLevel="0" collapsed="false">
      <c r="A80" s="8"/>
      <c r="B80" s="9"/>
      <c r="C80" s="9"/>
      <c r="D80" s="9"/>
      <c r="E80" s="9"/>
      <c r="F80" s="9"/>
      <c r="G80" s="9"/>
    </row>
    <row r="81" customFormat="false" ht="15" hidden="false" customHeight="false" outlineLevel="0" collapsed="false">
      <c r="A81" s="8"/>
      <c r="B81" s="9"/>
      <c r="C81" s="9"/>
      <c r="D81" s="9"/>
      <c r="E81" s="9"/>
      <c r="F81" s="9"/>
      <c r="G81" s="9"/>
    </row>
    <row r="82" customFormat="false" ht="15" hidden="false" customHeight="false" outlineLevel="0" collapsed="false">
      <c r="A82" s="8"/>
      <c r="B82" s="9"/>
      <c r="C82" s="9"/>
      <c r="D82" s="9"/>
      <c r="E82" s="9"/>
      <c r="F82" s="9"/>
      <c r="G82" s="9"/>
    </row>
    <row r="83" customFormat="false" ht="15" hidden="false" customHeight="false" outlineLevel="0" collapsed="false">
      <c r="A83" s="8"/>
      <c r="B83" s="9"/>
      <c r="C83" s="9"/>
      <c r="D83" s="9"/>
      <c r="E83" s="9"/>
      <c r="F83" s="9"/>
      <c r="G83" s="9"/>
    </row>
    <row r="84" customFormat="false" ht="15" hidden="false" customHeight="false" outlineLevel="0" collapsed="false">
      <c r="A84" s="8"/>
      <c r="B84" s="9"/>
      <c r="C84" s="9"/>
      <c r="D84" s="9"/>
      <c r="E84" s="9"/>
      <c r="F84" s="9"/>
      <c r="G84" s="9"/>
    </row>
    <row r="85" customFormat="false" ht="15" hidden="false" customHeight="false" outlineLevel="0" collapsed="false">
      <c r="A85" s="8"/>
      <c r="B85" s="9"/>
      <c r="C85" s="9"/>
      <c r="D85" s="9"/>
      <c r="E85" s="9"/>
      <c r="F85" s="9"/>
      <c r="G85" s="9"/>
    </row>
    <row r="86" customFormat="false" ht="15" hidden="false" customHeight="false" outlineLevel="0" collapsed="false">
      <c r="A86" s="8"/>
      <c r="B86" s="9"/>
      <c r="C86" s="9"/>
      <c r="D86" s="9"/>
      <c r="E86" s="9"/>
      <c r="F86" s="9"/>
      <c r="G86" s="9"/>
    </row>
    <row r="87" customFormat="false" ht="15" hidden="false" customHeight="false" outlineLevel="0" collapsed="false">
      <c r="A87" s="8"/>
      <c r="B87" s="9"/>
      <c r="C87" s="9"/>
      <c r="D87" s="9"/>
      <c r="E87" s="9"/>
      <c r="F87" s="9"/>
      <c r="G87" s="9"/>
    </row>
    <row r="88" customFormat="false" ht="15" hidden="false" customHeight="false" outlineLevel="0" collapsed="false">
      <c r="A88" s="8"/>
      <c r="B88" s="9"/>
      <c r="C88" s="9"/>
      <c r="D88" s="9"/>
      <c r="E88" s="9"/>
      <c r="F88" s="9"/>
      <c r="G88" s="9"/>
    </row>
    <row r="89" customFormat="false" ht="15" hidden="false" customHeight="false" outlineLevel="0" collapsed="false">
      <c r="A89" s="8"/>
      <c r="B89" s="9"/>
      <c r="C89" s="9"/>
      <c r="D89" s="9"/>
      <c r="E89" s="9"/>
      <c r="F89" s="9"/>
      <c r="G89" s="9"/>
    </row>
    <row r="90" customFormat="false" ht="15" hidden="false" customHeight="false" outlineLevel="0" collapsed="false">
      <c r="A90" s="8"/>
      <c r="B90" s="9"/>
      <c r="C90" s="9"/>
      <c r="D90" s="9"/>
      <c r="E90" s="9"/>
      <c r="F90" s="9"/>
      <c r="G90" s="9"/>
    </row>
    <row r="91" customFormat="false" ht="15" hidden="false" customHeight="false" outlineLevel="0" collapsed="false">
      <c r="A91" s="8"/>
      <c r="B91" s="9"/>
      <c r="C91" s="9"/>
      <c r="D91" s="9"/>
      <c r="E91" s="9"/>
      <c r="F91" s="9"/>
      <c r="G91" s="9"/>
    </row>
    <row r="92" customFormat="false" ht="15" hidden="false" customHeight="false" outlineLevel="0" collapsed="false">
      <c r="A92" s="8"/>
      <c r="B92" s="9"/>
      <c r="C92" s="9"/>
      <c r="D92" s="9"/>
      <c r="E92" s="9"/>
      <c r="F92" s="9"/>
      <c r="G92" s="9"/>
    </row>
    <row r="93" customFormat="false" ht="15" hidden="false" customHeight="false" outlineLevel="0" collapsed="false">
      <c r="A93" s="8"/>
      <c r="B93" s="9"/>
      <c r="C93" s="9"/>
      <c r="D93" s="9"/>
      <c r="E93" s="9"/>
      <c r="F93" s="9"/>
      <c r="G93" s="9"/>
    </row>
    <row r="94" customFormat="false" ht="15" hidden="false" customHeight="false" outlineLevel="0" collapsed="false">
      <c r="A94" s="8"/>
      <c r="B94" s="9"/>
      <c r="C94" s="9"/>
      <c r="D94" s="9"/>
      <c r="E94" s="9"/>
      <c r="F94" s="9"/>
      <c r="G94" s="9"/>
    </row>
    <row r="95" customFormat="false" ht="15" hidden="false" customHeight="false" outlineLevel="0" collapsed="false">
      <c r="A95" s="8"/>
      <c r="B95" s="9"/>
      <c r="C95" s="9"/>
      <c r="D95" s="9"/>
      <c r="E95" s="9"/>
      <c r="F95" s="9"/>
      <c r="G95" s="9"/>
    </row>
    <row r="96" customFormat="false" ht="15" hidden="false" customHeight="false" outlineLevel="0" collapsed="false">
      <c r="A96" s="8"/>
      <c r="B96" s="9"/>
      <c r="C96" s="9"/>
      <c r="D96" s="9"/>
      <c r="E96" s="9"/>
      <c r="F96" s="9"/>
      <c r="G96" s="9"/>
    </row>
    <row r="97" customFormat="false" ht="15" hidden="false" customHeight="false" outlineLevel="0" collapsed="false">
      <c r="A97" s="8"/>
      <c r="B97" s="9"/>
      <c r="C97" s="9"/>
      <c r="D97" s="9"/>
      <c r="E97" s="9"/>
      <c r="F97" s="9"/>
      <c r="G97" s="9"/>
    </row>
    <row r="98" customFormat="false" ht="15" hidden="false" customHeight="false" outlineLevel="0" collapsed="false">
      <c r="A98" s="8"/>
      <c r="B98" s="9"/>
      <c r="C98" s="9"/>
      <c r="D98" s="9"/>
      <c r="E98" s="9"/>
      <c r="F98" s="9"/>
      <c r="G98" s="9"/>
    </row>
    <row r="99" customFormat="false" ht="15" hidden="false" customHeight="false" outlineLevel="0" collapsed="false">
      <c r="A99" s="8"/>
      <c r="B99" s="9"/>
      <c r="C99" s="9"/>
      <c r="D99" s="9"/>
      <c r="E99" s="9"/>
      <c r="F99" s="9"/>
      <c r="G99" s="9"/>
    </row>
    <row r="100" customFormat="false" ht="15" hidden="false" customHeight="false" outlineLevel="0" collapsed="false">
      <c r="A100" s="8"/>
      <c r="B100" s="9"/>
      <c r="C100" s="9"/>
      <c r="D100" s="9"/>
      <c r="E100" s="9"/>
      <c r="F100" s="9"/>
      <c r="G100" s="9"/>
    </row>
    <row r="101" customFormat="false" ht="15" hidden="false" customHeight="false" outlineLevel="0" collapsed="false">
      <c r="A101" s="8"/>
      <c r="B101" s="9"/>
      <c r="C101" s="9"/>
      <c r="D101" s="9"/>
      <c r="E101" s="9"/>
      <c r="F101" s="9"/>
      <c r="G101" s="9"/>
    </row>
    <row r="102" customFormat="false" ht="15" hidden="false" customHeight="false" outlineLevel="0" collapsed="false">
      <c r="A102" s="8"/>
      <c r="B102" s="9"/>
      <c r="C102" s="9"/>
      <c r="D102" s="9"/>
      <c r="E102" s="9"/>
      <c r="F102" s="9"/>
      <c r="G102" s="9"/>
    </row>
    <row r="103" customFormat="false" ht="15" hidden="false" customHeight="false" outlineLevel="0" collapsed="false">
      <c r="A103" s="8"/>
      <c r="B103" s="9"/>
      <c r="C103" s="9"/>
      <c r="D103" s="9"/>
      <c r="E103" s="9"/>
      <c r="F103" s="9"/>
      <c r="G103" s="9"/>
    </row>
    <row r="104" customFormat="false" ht="15" hidden="false" customHeight="false" outlineLevel="0" collapsed="false">
      <c r="A104" s="8"/>
      <c r="B104" s="9"/>
      <c r="C104" s="9"/>
      <c r="D104" s="9"/>
      <c r="E104" s="9"/>
      <c r="F104" s="9"/>
      <c r="G104" s="9"/>
    </row>
    <row r="105" customFormat="false" ht="15" hidden="false" customHeight="false" outlineLevel="0" collapsed="false">
      <c r="A105" s="8"/>
      <c r="B105" s="9"/>
      <c r="C105" s="9"/>
      <c r="D105" s="9"/>
      <c r="E105" s="9"/>
      <c r="F105" s="9"/>
      <c r="G105" s="9"/>
    </row>
    <row r="106" customFormat="false" ht="15" hidden="false" customHeight="false" outlineLevel="0" collapsed="false">
      <c r="A106" s="8"/>
      <c r="B106" s="9"/>
      <c r="C106" s="9"/>
      <c r="D106" s="9"/>
      <c r="E106" s="9"/>
      <c r="F106" s="9"/>
      <c r="G106" s="9"/>
    </row>
    <row r="107" customFormat="false" ht="15" hidden="false" customHeight="false" outlineLevel="0" collapsed="false">
      <c r="A107" s="8"/>
      <c r="B107" s="9"/>
      <c r="C107" s="9"/>
      <c r="D107" s="9"/>
      <c r="E107" s="9"/>
      <c r="F107" s="9"/>
      <c r="G107" s="9"/>
    </row>
    <row r="108" customFormat="false" ht="15" hidden="false" customHeight="false" outlineLevel="0" collapsed="false">
      <c r="A108" s="8"/>
      <c r="B108" s="9"/>
      <c r="C108" s="9"/>
      <c r="D108" s="9"/>
      <c r="E108" s="9"/>
      <c r="F108" s="9"/>
      <c r="G108" s="9"/>
    </row>
    <row r="109" customFormat="false" ht="15" hidden="false" customHeight="false" outlineLevel="0" collapsed="false">
      <c r="A109" s="8"/>
      <c r="B109" s="9"/>
      <c r="C109" s="9"/>
      <c r="D109" s="9"/>
      <c r="E109" s="9"/>
      <c r="F109" s="9"/>
      <c r="G109" s="9"/>
    </row>
    <row r="110" customFormat="false" ht="15" hidden="false" customHeight="false" outlineLevel="0" collapsed="false">
      <c r="A110" s="8"/>
      <c r="B110" s="9"/>
      <c r="C110" s="9"/>
      <c r="D110" s="9"/>
      <c r="E110" s="9"/>
      <c r="F110" s="9"/>
      <c r="G110" s="9"/>
    </row>
    <row r="111" customFormat="false" ht="15" hidden="false" customHeight="false" outlineLevel="0" collapsed="false">
      <c r="A111" s="8"/>
      <c r="B111" s="9"/>
      <c r="C111" s="9"/>
      <c r="D111" s="9"/>
      <c r="E111" s="9"/>
      <c r="F111" s="9"/>
      <c r="G111" s="9"/>
    </row>
    <row r="112" customFormat="false" ht="15" hidden="false" customHeight="false" outlineLevel="0" collapsed="false">
      <c r="A112" s="8"/>
      <c r="B112" s="9"/>
      <c r="C112" s="9"/>
      <c r="D112" s="9"/>
      <c r="E112" s="9"/>
      <c r="F112" s="9"/>
      <c r="G112" s="9"/>
    </row>
    <row r="113" customFormat="false" ht="15" hidden="false" customHeight="false" outlineLevel="0" collapsed="false">
      <c r="A113" s="8"/>
      <c r="B113" s="9"/>
      <c r="C113" s="9"/>
      <c r="D113" s="9"/>
      <c r="E113" s="9"/>
      <c r="F113" s="9"/>
      <c r="G113" s="9"/>
    </row>
    <row r="114" customFormat="false" ht="15" hidden="false" customHeight="false" outlineLevel="0" collapsed="false">
      <c r="A114" s="8"/>
      <c r="B114" s="9"/>
      <c r="C114" s="9"/>
      <c r="D114" s="9"/>
      <c r="E114" s="9"/>
      <c r="F114" s="9"/>
      <c r="G114" s="9"/>
    </row>
    <row r="115" customFormat="false" ht="15" hidden="false" customHeight="false" outlineLevel="0" collapsed="false">
      <c r="A115" s="8"/>
      <c r="B115" s="9"/>
      <c r="C115" s="9"/>
      <c r="D115" s="9"/>
      <c r="E115" s="9"/>
      <c r="F115" s="9"/>
      <c r="G115" s="9"/>
    </row>
    <row r="116" customFormat="false" ht="15" hidden="false" customHeight="false" outlineLevel="0" collapsed="false">
      <c r="A116" s="8"/>
      <c r="B116" s="9"/>
      <c r="C116" s="9"/>
      <c r="D116" s="9"/>
      <c r="E116" s="9"/>
      <c r="F116" s="9"/>
      <c r="G116" s="9"/>
    </row>
    <row r="117" customFormat="false" ht="15" hidden="false" customHeight="false" outlineLevel="0" collapsed="false">
      <c r="A117" s="8"/>
      <c r="B117" s="9"/>
      <c r="C117" s="9"/>
      <c r="D117" s="9"/>
      <c r="E117" s="9"/>
      <c r="F117" s="9"/>
      <c r="G117" s="9"/>
    </row>
    <row r="118" customFormat="false" ht="15" hidden="false" customHeight="false" outlineLevel="0" collapsed="false">
      <c r="A118" s="8"/>
      <c r="B118" s="9"/>
      <c r="C118" s="9"/>
      <c r="D118" s="9"/>
      <c r="E118" s="9"/>
      <c r="F118" s="9"/>
      <c r="G118" s="9"/>
    </row>
    <row r="119" customFormat="false" ht="15" hidden="false" customHeight="false" outlineLevel="0" collapsed="false">
      <c r="A119" s="8"/>
      <c r="B119" s="9"/>
      <c r="C119" s="9"/>
      <c r="D119" s="9"/>
      <c r="E119" s="9"/>
      <c r="F119" s="9"/>
      <c r="G119" s="9"/>
    </row>
    <row r="120" customFormat="false" ht="15" hidden="false" customHeight="false" outlineLevel="0" collapsed="false">
      <c r="A120" s="8"/>
      <c r="B120" s="9"/>
      <c r="C120" s="9"/>
      <c r="D120" s="9"/>
      <c r="E120" s="9"/>
      <c r="F120" s="9"/>
      <c r="G120" s="9"/>
    </row>
    <row r="121" customFormat="false" ht="15" hidden="false" customHeight="false" outlineLevel="0" collapsed="false">
      <c r="A121" s="8"/>
      <c r="B121" s="9"/>
      <c r="C121" s="9"/>
      <c r="D121" s="9"/>
      <c r="E121" s="9"/>
      <c r="F121" s="9"/>
      <c r="G121" s="9"/>
    </row>
    <row r="122" customFormat="false" ht="15" hidden="false" customHeight="false" outlineLevel="0" collapsed="false">
      <c r="A122" s="8"/>
      <c r="B122" s="9"/>
      <c r="C122" s="9"/>
      <c r="D122" s="9"/>
      <c r="E122" s="9"/>
      <c r="F122" s="9"/>
      <c r="G122" s="9"/>
    </row>
    <row r="123" customFormat="false" ht="15" hidden="false" customHeight="false" outlineLevel="0" collapsed="false">
      <c r="A123" s="8"/>
      <c r="B123" s="9"/>
      <c r="C123" s="9"/>
      <c r="D123" s="9"/>
      <c r="E123" s="9"/>
      <c r="F123" s="9"/>
      <c r="G123" s="9"/>
    </row>
    <row r="124" customFormat="false" ht="15" hidden="false" customHeight="false" outlineLevel="0" collapsed="false">
      <c r="A124" s="8"/>
      <c r="B124" s="9"/>
      <c r="C124" s="9"/>
      <c r="D124" s="9"/>
      <c r="E124" s="9"/>
      <c r="F124" s="9"/>
      <c r="G124" s="9"/>
    </row>
    <row r="125" customFormat="false" ht="15" hidden="false" customHeight="false" outlineLevel="0" collapsed="false">
      <c r="A125" s="8"/>
      <c r="B125" s="9"/>
      <c r="C125" s="9"/>
      <c r="D125" s="9"/>
      <c r="E125" s="9"/>
      <c r="F125" s="9"/>
      <c r="G125" s="9"/>
    </row>
    <row r="126" customFormat="false" ht="15" hidden="false" customHeight="false" outlineLevel="0" collapsed="false">
      <c r="A126" s="8"/>
      <c r="B126" s="9"/>
      <c r="C126" s="9"/>
      <c r="D126" s="9"/>
      <c r="E126" s="9"/>
      <c r="F126" s="9"/>
      <c r="G126" s="9"/>
    </row>
    <row r="127" customFormat="false" ht="15" hidden="false" customHeight="false" outlineLevel="0" collapsed="false">
      <c r="A127" s="8"/>
      <c r="B127" s="9"/>
      <c r="C127" s="9"/>
      <c r="D127" s="9"/>
      <c r="E127" s="9"/>
      <c r="F127" s="9"/>
      <c r="G127" s="9"/>
    </row>
    <row r="128" customFormat="false" ht="15" hidden="false" customHeight="false" outlineLevel="0" collapsed="false">
      <c r="A128" s="8"/>
      <c r="B128" s="9"/>
      <c r="C128" s="9"/>
      <c r="D128" s="9"/>
      <c r="E128" s="9"/>
      <c r="F128" s="9"/>
      <c r="G128" s="9"/>
    </row>
    <row r="129" customFormat="false" ht="15" hidden="false" customHeight="false" outlineLevel="0" collapsed="false">
      <c r="A129" s="8"/>
      <c r="B129" s="9"/>
      <c r="C129" s="9"/>
      <c r="D129" s="9"/>
      <c r="E129" s="9"/>
      <c r="F129" s="9"/>
      <c r="G129" s="9"/>
    </row>
    <row r="130" customFormat="false" ht="15" hidden="false" customHeight="false" outlineLevel="0" collapsed="false">
      <c r="A130" s="8"/>
      <c r="B130" s="9"/>
      <c r="C130" s="9"/>
      <c r="D130" s="9"/>
      <c r="E130" s="9"/>
      <c r="F130" s="9"/>
      <c r="G130" s="9"/>
    </row>
    <row r="131" customFormat="false" ht="15" hidden="false" customHeight="false" outlineLevel="0" collapsed="false">
      <c r="A131" s="8"/>
      <c r="B131" s="9"/>
      <c r="C131" s="9"/>
      <c r="D131" s="9"/>
      <c r="E131" s="9"/>
      <c r="F131" s="9"/>
      <c r="G131" s="9"/>
    </row>
    <row r="132" customFormat="false" ht="15" hidden="false" customHeight="false" outlineLevel="0" collapsed="false">
      <c r="A132" s="8"/>
      <c r="B132" s="9"/>
      <c r="C132" s="9"/>
      <c r="D132" s="9"/>
      <c r="E132" s="9"/>
      <c r="F132" s="9"/>
      <c r="G132" s="9"/>
    </row>
    <row r="133" customFormat="false" ht="15" hidden="false" customHeight="false" outlineLevel="0" collapsed="false">
      <c r="A133" s="8"/>
      <c r="B133" s="9"/>
      <c r="C133" s="9"/>
      <c r="D133" s="9"/>
      <c r="E133" s="9"/>
      <c r="F133" s="9"/>
      <c r="G133" s="9"/>
    </row>
    <row r="134" customFormat="false" ht="15" hidden="false" customHeight="false" outlineLevel="0" collapsed="false">
      <c r="A134" s="8"/>
      <c r="B134" s="9"/>
      <c r="C134" s="9"/>
      <c r="D134" s="9"/>
      <c r="E134" s="9"/>
      <c r="F134" s="9"/>
      <c r="G134" s="9"/>
    </row>
    <row r="135" customFormat="false" ht="15" hidden="false" customHeight="false" outlineLevel="0" collapsed="false">
      <c r="A135" s="8"/>
      <c r="B135" s="9"/>
      <c r="C135" s="9"/>
      <c r="D135" s="9"/>
      <c r="E135" s="9"/>
      <c r="F135" s="9"/>
      <c r="G135" s="9"/>
    </row>
    <row r="136" customFormat="false" ht="15" hidden="false" customHeight="false" outlineLevel="0" collapsed="false">
      <c r="A136" s="8"/>
      <c r="B136" s="9"/>
      <c r="C136" s="9"/>
      <c r="D136" s="9"/>
      <c r="E136" s="9"/>
      <c r="F136" s="9"/>
      <c r="G136" s="9"/>
    </row>
    <row r="137" customFormat="false" ht="15" hidden="false" customHeight="false" outlineLevel="0" collapsed="false">
      <c r="A137" s="8"/>
      <c r="B137" s="9"/>
      <c r="C137" s="9"/>
      <c r="D137" s="9"/>
      <c r="E137" s="9"/>
      <c r="F137" s="9"/>
      <c r="G137" s="9"/>
    </row>
    <row r="138" customFormat="false" ht="15" hidden="false" customHeight="false" outlineLevel="0" collapsed="false">
      <c r="A138" s="8"/>
      <c r="B138" s="9"/>
      <c r="C138" s="9"/>
      <c r="D138" s="9"/>
      <c r="E138" s="9"/>
      <c r="F138" s="9"/>
      <c r="G138" s="9"/>
    </row>
    <row r="139" customFormat="false" ht="15" hidden="false" customHeight="false" outlineLevel="0" collapsed="false">
      <c r="A139" s="8"/>
      <c r="B139" s="9"/>
      <c r="C139" s="9"/>
      <c r="D139" s="9"/>
      <c r="E139" s="9"/>
      <c r="F139" s="9"/>
      <c r="G139" s="9"/>
    </row>
    <row r="140" customFormat="false" ht="15" hidden="false" customHeight="false" outlineLevel="0" collapsed="false">
      <c r="A140" s="8"/>
      <c r="B140" s="9"/>
      <c r="C140" s="9"/>
      <c r="D140" s="9"/>
      <c r="E140" s="9"/>
      <c r="F140" s="9"/>
      <c r="G140" s="9"/>
    </row>
    <row r="141" customFormat="false" ht="15" hidden="false" customHeight="false" outlineLevel="0" collapsed="false">
      <c r="A141" s="8"/>
      <c r="B141" s="9"/>
      <c r="C141" s="9"/>
      <c r="D141" s="9"/>
      <c r="E141" s="9"/>
      <c r="F141" s="9"/>
      <c r="G141" s="9"/>
    </row>
    <row r="142" customFormat="false" ht="15" hidden="false" customHeight="false" outlineLevel="0" collapsed="false">
      <c r="A142" s="8"/>
      <c r="B142" s="9"/>
      <c r="C142" s="9"/>
      <c r="D142" s="9"/>
      <c r="E142" s="9"/>
      <c r="F142" s="9"/>
      <c r="G142" s="9"/>
    </row>
    <row r="143" customFormat="false" ht="15" hidden="false" customHeight="false" outlineLevel="0" collapsed="false">
      <c r="A143" s="8"/>
      <c r="B143" s="9"/>
      <c r="C143" s="9"/>
      <c r="D143" s="9"/>
      <c r="E143" s="9"/>
      <c r="F143" s="9"/>
      <c r="G143" s="9"/>
    </row>
    <row r="144" customFormat="false" ht="15" hidden="false" customHeight="false" outlineLevel="0" collapsed="false">
      <c r="A144" s="8"/>
      <c r="B144" s="9"/>
      <c r="C144" s="9"/>
      <c r="D144" s="9"/>
      <c r="E144" s="9"/>
      <c r="F144" s="9"/>
      <c r="G144" s="9"/>
    </row>
    <row r="145" customFormat="false" ht="15" hidden="false" customHeight="false" outlineLevel="0" collapsed="false">
      <c r="A145" s="8"/>
      <c r="B145" s="9"/>
      <c r="C145" s="9"/>
      <c r="D145" s="9"/>
      <c r="E145" s="9"/>
      <c r="F145" s="9"/>
      <c r="G145" s="9"/>
    </row>
    <row r="146" customFormat="false" ht="15" hidden="false" customHeight="false" outlineLevel="0" collapsed="false">
      <c r="A146" s="8"/>
      <c r="B146" s="9"/>
      <c r="C146" s="9"/>
      <c r="D146" s="9"/>
      <c r="E146" s="9"/>
      <c r="F146" s="9"/>
      <c r="G146" s="9"/>
    </row>
    <row r="147" customFormat="false" ht="15" hidden="false" customHeight="false" outlineLevel="0" collapsed="false">
      <c r="A147" s="8"/>
      <c r="B147" s="9"/>
      <c r="C147" s="9"/>
      <c r="D147" s="9"/>
      <c r="E147" s="9"/>
      <c r="F147" s="9"/>
      <c r="G147" s="9"/>
    </row>
    <row r="148" customFormat="false" ht="15" hidden="false" customHeight="false" outlineLevel="0" collapsed="false">
      <c r="A148" s="8"/>
      <c r="B148" s="9"/>
      <c r="C148" s="9"/>
      <c r="D148" s="9"/>
      <c r="E148" s="9"/>
      <c r="F148" s="9"/>
      <c r="G148" s="9"/>
    </row>
    <row r="149" customFormat="false" ht="15" hidden="false" customHeight="false" outlineLevel="0" collapsed="false">
      <c r="A149" s="8"/>
      <c r="B149" s="9"/>
      <c r="C149" s="9"/>
      <c r="D149" s="9"/>
      <c r="E149" s="9"/>
      <c r="F149" s="9"/>
      <c r="G149" s="9"/>
    </row>
    <row r="150" customFormat="false" ht="15" hidden="false" customHeight="false" outlineLevel="0" collapsed="false">
      <c r="A150" s="8"/>
      <c r="B150" s="9"/>
      <c r="C150" s="9"/>
      <c r="D150" s="9"/>
      <c r="E150" s="9"/>
      <c r="F150" s="9"/>
      <c r="G150" s="9"/>
    </row>
    <row r="151" customFormat="false" ht="15" hidden="false" customHeight="false" outlineLevel="0" collapsed="false">
      <c r="A151" s="8"/>
      <c r="B151" s="9"/>
      <c r="C151" s="9"/>
      <c r="D151" s="9"/>
      <c r="E151" s="9"/>
      <c r="F151" s="9"/>
      <c r="G151" s="9"/>
    </row>
    <row r="152" customFormat="false" ht="15" hidden="false" customHeight="false" outlineLevel="0" collapsed="false">
      <c r="A152" s="8"/>
      <c r="B152" s="9"/>
      <c r="C152" s="9"/>
      <c r="D152" s="9"/>
      <c r="E152" s="9"/>
      <c r="F152" s="9"/>
      <c r="G152" s="9"/>
    </row>
    <row r="153" customFormat="false" ht="15" hidden="false" customHeight="false" outlineLevel="0" collapsed="false">
      <c r="A153" s="8"/>
      <c r="B153" s="9"/>
      <c r="C153" s="9"/>
      <c r="D153" s="9"/>
      <c r="E153" s="9"/>
      <c r="F153" s="9"/>
      <c r="G153" s="9"/>
    </row>
    <row r="154" customFormat="false" ht="15" hidden="false" customHeight="false" outlineLevel="0" collapsed="false">
      <c r="A154" s="8"/>
      <c r="B154" s="9"/>
      <c r="C154" s="9"/>
      <c r="D154" s="9"/>
      <c r="E154" s="9"/>
      <c r="F154" s="9"/>
      <c r="G154" s="9"/>
    </row>
    <row r="155" customFormat="false" ht="15" hidden="false" customHeight="false" outlineLevel="0" collapsed="false">
      <c r="A155" s="8"/>
      <c r="B155" s="9"/>
      <c r="C155" s="9"/>
      <c r="D155" s="9"/>
      <c r="E155" s="9"/>
      <c r="F155" s="9"/>
      <c r="G155" s="9"/>
    </row>
    <row r="156" customFormat="false" ht="15" hidden="false" customHeight="false" outlineLevel="0" collapsed="false">
      <c r="A156" s="8"/>
      <c r="B156" s="9"/>
      <c r="C156" s="9"/>
      <c r="D156" s="9"/>
      <c r="E156" s="9"/>
      <c r="F156" s="9"/>
      <c r="G156" s="9"/>
    </row>
    <row r="157" customFormat="false" ht="15" hidden="false" customHeight="false" outlineLevel="0" collapsed="false">
      <c r="A157" s="8"/>
      <c r="B157" s="9"/>
      <c r="C157" s="9"/>
      <c r="D157" s="9"/>
      <c r="E157" s="9"/>
      <c r="F157" s="9"/>
      <c r="G157" s="9"/>
    </row>
    <row r="158" customFormat="false" ht="15" hidden="false" customHeight="false" outlineLevel="0" collapsed="false">
      <c r="A158" s="8"/>
      <c r="B158" s="9"/>
      <c r="C158" s="9"/>
      <c r="D158" s="9"/>
      <c r="E158" s="9"/>
      <c r="F158" s="9"/>
      <c r="G158" s="9"/>
    </row>
    <row r="159" customFormat="false" ht="15" hidden="false" customHeight="false" outlineLevel="0" collapsed="false">
      <c r="A159" s="8"/>
      <c r="B159" s="9"/>
      <c r="C159" s="9"/>
      <c r="D159" s="9"/>
      <c r="E159" s="9"/>
      <c r="F159" s="9"/>
      <c r="G159" s="9"/>
    </row>
    <row r="160" customFormat="false" ht="15" hidden="false" customHeight="false" outlineLevel="0" collapsed="false">
      <c r="A160" s="8"/>
      <c r="B160" s="9"/>
      <c r="C160" s="9"/>
      <c r="D160" s="9"/>
      <c r="E160" s="9"/>
      <c r="F160" s="9"/>
      <c r="G160" s="9"/>
    </row>
    <row r="161" customFormat="false" ht="15" hidden="false" customHeight="false" outlineLevel="0" collapsed="false">
      <c r="A161" s="8"/>
      <c r="B161" s="9"/>
      <c r="C161" s="9"/>
      <c r="D161" s="9"/>
      <c r="E161" s="9"/>
      <c r="F161" s="9"/>
      <c r="G161" s="9"/>
    </row>
    <row r="162" customFormat="false" ht="15" hidden="false" customHeight="false" outlineLevel="0" collapsed="false">
      <c r="A162" s="8"/>
      <c r="B162" s="9"/>
      <c r="C162" s="9"/>
      <c r="D162" s="9"/>
      <c r="E162" s="9"/>
      <c r="F162" s="9"/>
      <c r="G162" s="9"/>
    </row>
    <row r="163" customFormat="false" ht="15" hidden="false" customHeight="false" outlineLevel="0" collapsed="false">
      <c r="A163" s="8"/>
      <c r="B163" s="9"/>
      <c r="C163" s="9"/>
      <c r="D163" s="9"/>
      <c r="E163" s="9"/>
      <c r="F163" s="9"/>
      <c r="G163" s="9"/>
    </row>
    <row r="164" customFormat="false" ht="15" hidden="false" customHeight="false" outlineLevel="0" collapsed="false">
      <c r="A164" s="8"/>
      <c r="B164" s="9"/>
      <c r="C164" s="9"/>
      <c r="D164" s="9"/>
      <c r="E164" s="9"/>
      <c r="F164" s="9"/>
      <c r="G164" s="9"/>
    </row>
    <row r="165" customFormat="false" ht="15" hidden="false" customHeight="false" outlineLevel="0" collapsed="false">
      <c r="A165" s="8"/>
      <c r="B165" s="9"/>
      <c r="C165" s="9"/>
      <c r="D165" s="9"/>
      <c r="E165" s="9"/>
      <c r="F165" s="9"/>
      <c r="G165" s="9"/>
    </row>
    <row r="166" customFormat="false" ht="15" hidden="false" customHeight="false" outlineLevel="0" collapsed="false">
      <c r="A166" s="8"/>
      <c r="B166" s="9"/>
      <c r="C166" s="9"/>
      <c r="D166" s="9"/>
      <c r="E166" s="9"/>
      <c r="F166" s="9"/>
      <c r="G166" s="9"/>
    </row>
    <row r="167" customFormat="false" ht="15" hidden="false" customHeight="false" outlineLevel="0" collapsed="false">
      <c r="A167" s="8"/>
      <c r="B167" s="9"/>
      <c r="C167" s="9"/>
      <c r="D167" s="9"/>
      <c r="E167" s="9"/>
      <c r="F167" s="9"/>
      <c r="G167" s="9"/>
    </row>
    <row r="168" customFormat="false" ht="15" hidden="false" customHeight="false" outlineLevel="0" collapsed="false">
      <c r="A168" s="8"/>
      <c r="B168" s="9"/>
      <c r="C168" s="9"/>
      <c r="D168" s="9"/>
      <c r="E168" s="9"/>
      <c r="F168" s="9"/>
      <c r="G168" s="9"/>
    </row>
    <row r="169" customFormat="false" ht="15" hidden="false" customHeight="false" outlineLevel="0" collapsed="false">
      <c r="A169" s="8"/>
      <c r="B169" s="9"/>
      <c r="C169" s="9"/>
      <c r="D169" s="9"/>
      <c r="E169" s="9"/>
      <c r="F169" s="9"/>
      <c r="G169" s="9"/>
    </row>
    <row r="170" customFormat="false" ht="15" hidden="false" customHeight="false" outlineLevel="0" collapsed="false">
      <c r="A170" s="8"/>
      <c r="B170" s="9"/>
      <c r="C170" s="9"/>
      <c r="D170" s="9"/>
      <c r="E170" s="9"/>
      <c r="F170" s="9"/>
      <c r="G170" s="9"/>
    </row>
    <row r="171" customFormat="false" ht="15" hidden="false" customHeight="false" outlineLevel="0" collapsed="false">
      <c r="A171" s="8"/>
      <c r="B171" s="9"/>
      <c r="C171" s="9"/>
      <c r="D171" s="9"/>
      <c r="E171" s="9"/>
      <c r="F171" s="9"/>
      <c r="G171" s="9"/>
    </row>
    <row r="172" customFormat="false" ht="15" hidden="false" customHeight="false" outlineLevel="0" collapsed="false">
      <c r="A172" s="8"/>
      <c r="B172" s="9"/>
      <c r="C172" s="9"/>
      <c r="D172" s="9"/>
      <c r="E172" s="9"/>
      <c r="F172" s="9"/>
      <c r="G172" s="9"/>
    </row>
    <row r="173" customFormat="false" ht="15" hidden="false" customHeight="false" outlineLevel="0" collapsed="false">
      <c r="A173" s="8"/>
      <c r="B173" s="9"/>
      <c r="C173" s="9"/>
      <c r="D173" s="9"/>
      <c r="E173" s="9"/>
      <c r="F173" s="9"/>
      <c r="G173" s="9"/>
    </row>
    <row r="174" customFormat="false" ht="15" hidden="false" customHeight="false" outlineLevel="0" collapsed="false">
      <c r="A174" s="8"/>
      <c r="B174" s="9"/>
      <c r="C174" s="9"/>
      <c r="D174" s="9"/>
      <c r="E174" s="9"/>
      <c r="F174" s="9"/>
      <c r="G174" s="9"/>
    </row>
    <row r="175" customFormat="false" ht="15" hidden="false" customHeight="false" outlineLevel="0" collapsed="false">
      <c r="A175" s="8"/>
      <c r="B175" s="9"/>
      <c r="C175" s="9"/>
      <c r="D175" s="9"/>
      <c r="E175" s="9"/>
      <c r="F175" s="9"/>
      <c r="G175" s="9"/>
    </row>
    <row r="176" customFormat="false" ht="15" hidden="false" customHeight="false" outlineLevel="0" collapsed="false">
      <c r="A176" s="8"/>
      <c r="B176" s="9"/>
      <c r="C176" s="9"/>
      <c r="D176" s="9"/>
      <c r="E176" s="9"/>
      <c r="F176" s="9"/>
      <c r="G176" s="9"/>
    </row>
    <row r="177" customFormat="false" ht="15" hidden="false" customHeight="false" outlineLevel="0" collapsed="false">
      <c r="A177" s="8"/>
      <c r="B177" s="9"/>
      <c r="C177" s="9"/>
      <c r="D177" s="9"/>
      <c r="E177" s="9"/>
      <c r="F177" s="9"/>
      <c r="G177" s="9"/>
    </row>
    <row r="178" customFormat="false" ht="15" hidden="false" customHeight="false" outlineLevel="0" collapsed="false">
      <c r="A178" s="8"/>
      <c r="B178" s="9"/>
      <c r="C178" s="9"/>
      <c r="D178" s="9"/>
      <c r="E178" s="9"/>
      <c r="F178" s="9"/>
      <c r="G178" s="9"/>
    </row>
    <row r="179" customFormat="false" ht="15" hidden="false" customHeight="false" outlineLevel="0" collapsed="false">
      <c r="A179" s="8"/>
      <c r="B179" s="9"/>
      <c r="C179" s="9"/>
      <c r="D179" s="9"/>
      <c r="E179" s="9"/>
      <c r="F179" s="9"/>
      <c r="G179" s="9"/>
    </row>
    <row r="180" customFormat="false" ht="15" hidden="false" customHeight="false" outlineLevel="0" collapsed="false">
      <c r="A180" s="8"/>
      <c r="B180" s="9"/>
      <c r="C180" s="9"/>
      <c r="D180" s="9"/>
      <c r="E180" s="9"/>
      <c r="F180" s="9"/>
      <c r="G180" s="9"/>
    </row>
    <row r="181" customFormat="false" ht="15" hidden="false" customHeight="false" outlineLevel="0" collapsed="false">
      <c r="A181" s="8"/>
      <c r="B181" s="9"/>
      <c r="C181" s="9"/>
      <c r="D181" s="9"/>
      <c r="E181" s="9"/>
      <c r="F181" s="9"/>
      <c r="G181" s="9"/>
    </row>
    <row r="182" customFormat="false" ht="15" hidden="false" customHeight="false" outlineLevel="0" collapsed="false">
      <c r="A182" s="8"/>
      <c r="B182" s="9"/>
      <c r="C182" s="9"/>
      <c r="D182" s="9"/>
      <c r="E182" s="9"/>
      <c r="F182" s="9"/>
      <c r="G182" s="9"/>
    </row>
    <row r="183" customFormat="false" ht="15" hidden="false" customHeight="false" outlineLevel="0" collapsed="false">
      <c r="A183" s="8"/>
      <c r="B183" s="9"/>
      <c r="C183" s="9"/>
      <c r="D183" s="9"/>
      <c r="E183" s="9"/>
      <c r="F183" s="9"/>
      <c r="G183" s="9"/>
    </row>
    <row r="184" customFormat="false" ht="15" hidden="false" customHeight="false" outlineLevel="0" collapsed="false">
      <c r="A184" s="8"/>
      <c r="B184" s="9"/>
      <c r="C184" s="9"/>
      <c r="D184" s="9"/>
      <c r="E184" s="9"/>
      <c r="F184" s="9"/>
      <c r="G184" s="9"/>
    </row>
    <row r="185" customFormat="false" ht="15" hidden="false" customHeight="false" outlineLevel="0" collapsed="false">
      <c r="A185" s="8"/>
      <c r="B185" s="9"/>
      <c r="C185" s="9"/>
      <c r="D185" s="9"/>
      <c r="E185" s="9"/>
      <c r="F185" s="9"/>
      <c r="G185" s="9"/>
    </row>
    <row r="186" customFormat="false" ht="15" hidden="false" customHeight="false" outlineLevel="0" collapsed="false">
      <c r="A186" s="8"/>
      <c r="B186" s="9"/>
      <c r="C186" s="9"/>
      <c r="D186" s="9"/>
      <c r="E186" s="9"/>
      <c r="F186" s="9"/>
      <c r="G186" s="9"/>
    </row>
    <row r="187" customFormat="false" ht="15" hidden="false" customHeight="false" outlineLevel="0" collapsed="false">
      <c r="A187" s="8"/>
      <c r="B187" s="9"/>
      <c r="C187" s="9"/>
      <c r="D187" s="9"/>
      <c r="E187" s="9"/>
      <c r="F187" s="9"/>
      <c r="G187" s="9"/>
    </row>
    <row r="188" customFormat="false" ht="15" hidden="false" customHeight="false" outlineLevel="0" collapsed="false">
      <c r="A188" s="8"/>
      <c r="B188" s="9"/>
      <c r="C188" s="9"/>
      <c r="D188" s="9"/>
      <c r="E188" s="9"/>
      <c r="F188" s="9"/>
      <c r="G188" s="9"/>
    </row>
    <row r="189" customFormat="false" ht="15" hidden="false" customHeight="false" outlineLevel="0" collapsed="false">
      <c r="A189" s="8"/>
      <c r="B189" s="9"/>
      <c r="C189" s="9"/>
      <c r="D189" s="9"/>
      <c r="E189" s="9"/>
      <c r="F189" s="9"/>
      <c r="G189" s="9"/>
    </row>
    <row r="190" customFormat="false" ht="15" hidden="false" customHeight="false" outlineLevel="0" collapsed="false">
      <c r="A190" s="8"/>
      <c r="B190" s="9"/>
      <c r="C190" s="9"/>
      <c r="D190" s="9"/>
      <c r="E190" s="9"/>
      <c r="F190" s="9"/>
      <c r="G190" s="9"/>
    </row>
    <row r="191" customFormat="false" ht="15" hidden="false" customHeight="false" outlineLevel="0" collapsed="false">
      <c r="A191" s="8"/>
      <c r="B191" s="9"/>
      <c r="C191" s="9"/>
      <c r="D191" s="9"/>
      <c r="E191" s="9"/>
      <c r="F191" s="9"/>
      <c r="G191" s="9"/>
    </row>
    <row r="192" customFormat="false" ht="15" hidden="false" customHeight="false" outlineLevel="0" collapsed="false">
      <c r="A192" s="8"/>
      <c r="B192" s="9"/>
      <c r="C192" s="9"/>
      <c r="D192" s="9"/>
      <c r="E192" s="9"/>
      <c r="F192" s="9"/>
      <c r="G192" s="9"/>
    </row>
    <row r="193" customFormat="false" ht="15" hidden="false" customHeight="false" outlineLevel="0" collapsed="false">
      <c r="A193" s="8"/>
      <c r="B193" s="9"/>
      <c r="C193" s="9"/>
      <c r="D193" s="9"/>
      <c r="E193" s="9"/>
      <c r="F193" s="9"/>
      <c r="G193" s="9"/>
    </row>
    <row r="194" customFormat="false" ht="15" hidden="false" customHeight="false" outlineLevel="0" collapsed="false">
      <c r="A194" s="8"/>
      <c r="B194" s="9"/>
      <c r="C194" s="9"/>
      <c r="D194" s="9"/>
      <c r="E194" s="9"/>
      <c r="F194" s="9"/>
      <c r="G194" s="9"/>
    </row>
    <row r="195" customFormat="false" ht="15" hidden="false" customHeight="false" outlineLevel="0" collapsed="false">
      <c r="A195" s="8"/>
      <c r="B195" s="9"/>
      <c r="C195" s="9"/>
      <c r="D195" s="9"/>
      <c r="E195" s="9"/>
      <c r="F195" s="9"/>
      <c r="G195" s="9"/>
    </row>
    <row r="196" customFormat="false" ht="15" hidden="false" customHeight="false" outlineLevel="0" collapsed="false">
      <c r="A196" s="8"/>
      <c r="B196" s="9"/>
      <c r="C196" s="9"/>
      <c r="D196" s="9"/>
      <c r="E196" s="9"/>
      <c r="F196" s="9"/>
      <c r="G196" s="9"/>
    </row>
    <row r="197" customFormat="false" ht="15" hidden="false" customHeight="false" outlineLevel="0" collapsed="false">
      <c r="A197" s="8"/>
      <c r="B197" s="9"/>
      <c r="C197" s="9"/>
      <c r="D197" s="9"/>
      <c r="E197" s="9"/>
      <c r="F197" s="9"/>
      <c r="G197" s="9"/>
    </row>
    <row r="198" customFormat="false" ht="15" hidden="false" customHeight="false" outlineLevel="0" collapsed="false">
      <c r="A198" s="8"/>
      <c r="B198" s="9"/>
      <c r="C198" s="9"/>
      <c r="D198" s="9"/>
      <c r="E198" s="9"/>
      <c r="F198" s="9"/>
      <c r="G198" s="9"/>
    </row>
    <row r="199" customFormat="false" ht="15" hidden="false" customHeight="false" outlineLevel="0" collapsed="false">
      <c r="A199" s="8"/>
      <c r="B199" s="9"/>
      <c r="C199" s="9"/>
      <c r="D199" s="9"/>
      <c r="E199" s="9"/>
      <c r="F199" s="9"/>
      <c r="G199" s="9"/>
    </row>
    <row r="200" customFormat="false" ht="15" hidden="false" customHeight="false" outlineLevel="0" collapsed="false">
      <c r="A200" s="8"/>
      <c r="B200" s="9"/>
      <c r="C200" s="9"/>
      <c r="D200" s="9"/>
      <c r="E200" s="9"/>
      <c r="F200" s="9"/>
      <c r="G200" s="9"/>
    </row>
    <row r="201" customFormat="false" ht="15" hidden="false" customHeight="false" outlineLevel="0" collapsed="false">
      <c r="A201" s="8"/>
      <c r="B201" s="9"/>
      <c r="C201" s="9"/>
      <c r="D201" s="9"/>
      <c r="E201" s="9"/>
      <c r="F201" s="9"/>
      <c r="G201" s="9"/>
    </row>
    <row r="202" customFormat="false" ht="15" hidden="false" customHeight="false" outlineLevel="0" collapsed="false">
      <c r="A202" s="8"/>
      <c r="B202" s="9"/>
      <c r="C202" s="9"/>
      <c r="D202" s="9"/>
      <c r="E202" s="9"/>
      <c r="F202" s="9"/>
      <c r="G20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5" t="s">
        <v>35</v>
      </c>
      <c r="B1" s="5" t="s">
        <v>23</v>
      </c>
      <c r="C1" s="5" t="s">
        <v>42</v>
      </c>
      <c r="E1" s="4" t="s">
        <v>43</v>
      </c>
    </row>
    <row r="2" customFormat="false" ht="15" hidden="false" customHeight="false" outlineLevel="0" collapsed="false">
      <c r="A2" s="11" t="n">
        <v>46311</v>
      </c>
      <c r="B2" s="4" t="s">
        <v>24</v>
      </c>
      <c r="C2" s="4" t="n">
        <v>149.38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5" t="s">
        <v>35</v>
      </c>
      <c r="B1" s="5" t="s">
        <v>44</v>
      </c>
      <c r="D1" s="4" t="s">
        <v>45</v>
      </c>
    </row>
    <row r="2" customFormat="false" ht="15" hidden="false" customHeight="false" outlineLevel="0" collapsed="false">
      <c r="A2" s="11" t="n">
        <v>46311</v>
      </c>
      <c r="B2" s="12" t="n">
        <v>0.8696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4"/>
    <col collapsed="false" customWidth="true" hidden="false" outlineLevel="0" max="10" min="10" style="0" width="110"/>
  </cols>
  <sheetData>
    <row r="1" customFormat="false" ht="15" hidden="false" customHeight="false" outlineLevel="0" collapsed="false">
      <c r="A1" s="5" t="s">
        <v>35</v>
      </c>
      <c r="B1" s="5" t="s">
        <v>38</v>
      </c>
      <c r="C1" s="5" t="s">
        <v>44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J1" s="4" t="s">
        <v>51</v>
      </c>
    </row>
    <row r="2" customFormat="false" ht="15" hidden="false" customHeight="false" outlineLevel="0" collapsed="false">
      <c r="A2" s="13" t="n">
        <f aca="false">IF(Prices!A2="","",Prices!A2)</f>
        <v>46311</v>
      </c>
      <c r="B2" s="14" t="n">
        <f aca="false">IF(A2="","",Prices!C2)</f>
        <v>149.38</v>
      </c>
      <c r="C2" s="15" t="n">
        <f aca="false">IF(A2="","",IFERROR(INDEX(FX!$B:$B,MATCH(A2,FX!$A:$A,1)),""))</f>
        <v>0.8696</v>
      </c>
      <c r="D2" s="14" t="n">
        <f aca="false">IF(A2="","",SUMIFS(Transactions!$D:$D,Transactions!$A:$A,"&lt;="&amp;A2,Transactions!$B:$B,Settings!$B$1))</f>
        <v>1</v>
      </c>
      <c r="E2" s="14" t="n">
        <f aca="false">IF(A2="","",SUMIFS(Transactions!$C:$C,Transactions!$A:$A,"&lt;="&amp;A2,Transactions!$B:$B,Settings!$B$1)+SUMIFS(Transactions!$F:$F,Transactions!$A:$A,"&lt;="&amp;A2,Transactions!$B:$B,Settings!$B$1))</f>
        <v>134.15</v>
      </c>
      <c r="F2" s="14" t="n">
        <f aca="false">IF(A2="","",IF(C2="","",D2*B2*C2))</f>
        <v>129.900848</v>
      </c>
      <c r="G2" s="14" t="n">
        <f aca="false">IF(F2="","",F2-E2)</f>
        <v>-4.24915200000001</v>
      </c>
      <c r="H2" s="14" t="n">
        <f aca="false">IF(F2="","",0)</f>
        <v>0</v>
      </c>
    </row>
    <row r="3" customFormat="false" ht="15" hidden="false" customHeight="false" outlineLevel="0" collapsed="false">
      <c r="A3" s="13" t="str">
        <f aca="false">IF(Prices!A3="","",Prices!A3)</f>
        <v/>
      </c>
      <c r="B3" s="14" t="str">
        <f aca="false">IF(A3="","",Prices!C3)</f>
        <v/>
      </c>
      <c r="C3" s="15" t="str">
        <f aca="false">IF(A3="","",IFERROR(INDEX(FX!$B:$B,MATCH(A3,FX!$A:$A,1)),""))</f>
        <v/>
      </c>
      <c r="D3" s="14" t="str">
        <f aca="false">IF(A3="","",SUMIFS(Transactions!$D:$D,Transactions!$A:$A,"&lt;="&amp;A3,Transactions!$B:$B,Settings!$B$1))</f>
        <v/>
      </c>
      <c r="E3" s="14" t="str">
        <f aca="false">IF(A3="","",SUMIFS(Transactions!$C:$C,Transactions!$A:$A,"&lt;="&amp;A3,Transactions!$B:$B,Settings!$B$1)+SUMIFS(Transactions!$F:$F,Transactions!$A:$A,"&lt;="&amp;A3,Transactions!$B:$B,Settings!$B$1))</f>
        <v/>
      </c>
      <c r="F3" s="14" t="str">
        <f aca="false">IF(A3="","",IF(C3="","",D3*B3*C3))</f>
        <v/>
      </c>
      <c r="G3" s="14" t="str">
        <f aca="false">IF(F3="","",F3-E3)</f>
        <v/>
      </c>
      <c r="H3" s="14" t="str">
        <f aca="false">IF(F3="","",IFERROR(F3-F2-(E3-E2),0))</f>
        <v/>
      </c>
    </row>
    <row r="4" customFormat="false" ht="15" hidden="false" customHeight="false" outlineLevel="0" collapsed="false">
      <c r="A4" s="13" t="str">
        <f aca="false">IF(Prices!A4="","",Prices!A4)</f>
        <v/>
      </c>
      <c r="B4" s="14" t="str">
        <f aca="false">IF(A4="","",Prices!C4)</f>
        <v/>
      </c>
      <c r="C4" s="15" t="str">
        <f aca="false">IF(A4="","",IFERROR(INDEX(FX!$B:$B,MATCH(A4,FX!$A:$A,1)),""))</f>
        <v/>
      </c>
      <c r="D4" s="14" t="str">
        <f aca="false">IF(A4="","",SUMIFS(Transactions!$D:$D,Transactions!$A:$A,"&lt;="&amp;A4,Transactions!$B:$B,Settings!$B$1))</f>
        <v/>
      </c>
      <c r="E4" s="14" t="str">
        <f aca="false">IF(A4="","",SUMIFS(Transactions!$C:$C,Transactions!$A:$A,"&lt;="&amp;A4,Transactions!$B:$B,Settings!$B$1)+SUMIFS(Transactions!$F:$F,Transactions!$A:$A,"&lt;="&amp;A4,Transactions!$B:$B,Settings!$B$1))</f>
        <v/>
      </c>
      <c r="F4" s="14" t="str">
        <f aca="false">IF(A4="","",IF(C4="","",D4*B4*C4))</f>
        <v/>
      </c>
      <c r="G4" s="14" t="str">
        <f aca="false">IF(F4="","",F4-E4)</f>
        <v/>
      </c>
      <c r="H4" s="14" t="str">
        <f aca="false">IF(F4="","",IFERROR(F4-F3-(E4-E3),0))</f>
        <v/>
      </c>
    </row>
    <row r="5" customFormat="false" ht="15" hidden="false" customHeight="false" outlineLevel="0" collapsed="false">
      <c r="A5" s="13" t="str">
        <f aca="false">IF(Prices!A5="","",Prices!A5)</f>
        <v/>
      </c>
      <c r="B5" s="14" t="str">
        <f aca="false">IF(A5="","",Prices!C5)</f>
        <v/>
      </c>
      <c r="C5" s="15" t="str">
        <f aca="false">IF(A5="","",IFERROR(INDEX(FX!$B:$B,MATCH(A5,FX!$A:$A,1)),""))</f>
        <v/>
      </c>
      <c r="D5" s="14" t="str">
        <f aca="false">IF(A5="","",SUMIFS(Transactions!$D:$D,Transactions!$A:$A,"&lt;="&amp;A5,Transactions!$B:$B,Settings!$B$1))</f>
        <v/>
      </c>
      <c r="E5" s="14" t="str">
        <f aca="false">IF(A5="","",SUMIFS(Transactions!$C:$C,Transactions!$A:$A,"&lt;="&amp;A5,Transactions!$B:$B,Settings!$B$1)+SUMIFS(Transactions!$F:$F,Transactions!$A:$A,"&lt;="&amp;A5,Transactions!$B:$B,Settings!$B$1))</f>
        <v/>
      </c>
      <c r="F5" s="14" t="str">
        <f aca="false">IF(A5="","",IF(C5="","",D5*B5*C5))</f>
        <v/>
      </c>
      <c r="G5" s="14" t="str">
        <f aca="false">IF(F5="","",F5-E5)</f>
        <v/>
      </c>
      <c r="H5" s="14" t="str">
        <f aca="false">IF(F5="","",IFERROR(F5-F4-(E5-E4),0))</f>
        <v/>
      </c>
    </row>
    <row r="6" customFormat="false" ht="15" hidden="false" customHeight="false" outlineLevel="0" collapsed="false">
      <c r="A6" s="13" t="str">
        <f aca="false">IF(Prices!A6="","",Prices!A6)</f>
        <v/>
      </c>
      <c r="B6" s="14" t="str">
        <f aca="false">IF(A6="","",Prices!C6)</f>
        <v/>
      </c>
      <c r="C6" s="15" t="str">
        <f aca="false">IF(A6="","",IFERROR(INDEX(FX!$B:$B,MATCH(A6,FX!$A:$A,1)),""))</f>
        <v/>
      </c>
      <c r="D6" s="14" t="str">
        <f aca="false">IF(A6="","",SUMIFS(Transactions!$D:$D,Transactions!$A:$A,"&lt;="&amp;A6,Transactions!$B:$B,Settings!$B$1))</f>
        <v/>
      </c>
      <c r="E6" s="14" t="str">
        <f aca="false">IF(A6="","",SUMIFS(Transactions!$C:$C,Transactions!$A:$A,"&lt;="&amp;A6,Transactions!$B:$B,Settings!$B$1)+SUMIFS(Transactions!$F:$F,Transactions!$A:$A,"&lt;="&amp;A6,Transactions!$B:$B,Settings!$B$1))</f>
        <v/>
      </c>
      <c r="F6" s="14" t="str">
        <f aca="false">IF(A6="","",IF(C6="","",D6*B6*C6))</f>
        <v/>
      </c>
      <c r="G6" s="14" t="str">
        <f aca="false">IF(F6="","",F6-E6)</f>
        <v/>
      </c>
      <c r="H6" s="14" t="str">
        <f aca="false">IF(F6="","",IFERROR(F6-F5-(E6-E5),0))</f>
        <v/>
      </c>
    </row>
    <row r="7" customFormat="false" ht="15" hidden="false" customHeight="false" outlineLevel="0" collapsed="false">
      <c r="A7" s="13" t="str">
        <f aca="false">IF(Prices!A7="","",Prices!A7)</f>
        <v/>
      </c>
      <c r="B7" s="14" t="str">
        <f aca="false">IF(A7="","",Prices!C7)</f>
        <v/>
      </c>
      <c r="C7" s="15" t="str">
        <f aca="false">IF(A7="","",IFERROR(INDEX(FX!$B:$B,MATCH(A7,FX!$A:$A,1)),""))</f>
        <v/>
      </c>
      <c r="D7" s="14" t="str">
        <f aca="false">IF(A7="","",SUMIFS(Transactions!$D:$D,Transactions!$A:$A,"&lt;="&amp;A7,Transactions!$B:$B,Settings!$B$1))</f>
        <v/>
      </c>
      <c r="E7" s="14" t="str">
        <f aca="false">IF(A7="","",SUMIFS(Transactions!$C:$C,Transactions!$A:$A,"&lt;="&amp;A7,Transactions!$B:$B,Settings!$B$1)+SUMIFS(Transactions!$F:$F,Transactions!$A:$A,"&lt;="&amp;A7,Transactions!$B:$B,Settings!$B$1))</f>
        <v/>
      </c>
      <c r="F7" s="14" t="str">
        <f aca="false">IF(A7="","",IF(C7="","",D7*B7*C7))</f>
        <v/>
      </c>
      <c r="G7" s="14" t="str">
        <f aca="false">IF(F7="","",F7-E7)</f>
        <v/>
      </c>
      <c r="H7" s="14" t="str">
        <f aca="false">IF(F7="","",IFERROR(F7-F6-(E7-E6),0))</f>
        <v/>
      </c>
    </row>
    <row r="8" customFormat="false" ht="15" hidden="false" customHeight="false" outlineLevel="0" collapsed="false">
      <c r="A8" s="13" t="str">
        <f aca="false">IF(Prices!A8="","",Prices!A8)</f>
        <v/>
      </c>
      <c r="B8" s="14" t="str">
        <f aca="false">IF(A8="","",Prices!C8)</f>
        <v/>
      </c>
      <c r="C8" s="15" t="str">
        <f aca="false">IF(A8="","",IFERROR(INDEX(FX!$B:$B,MATCH(A8,FX!$A:$A,1)),""))</f>
        <v/>
      </c>
      <c r="D8" s="14" t="str">
        <f aca="false">IF(A8="","",SUMIFS(Transactions!$D:$D,Transactions!$A:$A,"&lt;="&amp;A8,Transactions!$B:$B,Settings!$B$1))</f>
        <v/>
      </c>
      <c r="E8" s="14" t="str">
        <f aca="false">IF(A8="","",SUMIFS(Transactions!$C:$C,Transactions!$A:$A,"&lt;="&amp;A8,Transactions!$B:$B,Settings!$B$1)+SUMIFS(Transactions!$F:$F,Transactions!$A:$A,"&lt;="&amp;A8,Transactions!$B:$B,Settings!$B$1))</f>
        <v/>
      </c>
      <c r="F8" s="14" t="str">
        <f aca="false">IF(A8="","",IF(C8="","",D8*B8*C8))</f>
        <v/>
      </c>
      <c r="G8" s="14" t="str">
        <f aca="false">IF(F8="","",F8-E8)</f>
        <v/>
      </c>
      <c r="H8" s="14" t="str">
        <f aca="false">IF(F8="","",IFERROR(F8-F7-(E8-E7),0))</f>
        <v/>
      </c>
    </row>
    <row r="9" customFormat="false" ht="15" hidden="false" customHeight="false" outlineLevel="0" collapsed="false">
      <c r="A9" s="13" t="str">
        <f aca="false">IF(Prices!A9="","",Prices!A9)</f>
        <v/>
      </c>
      <c r="B9" s="14" t="str">
        <f aca="false">IF(A9="","",Prices!C9)</f>
        <v/>
      </c>
      <c r="C9" s="15" t="str">
        <f aca="false">IF(A9="","",IFERROR(INDEX(FX!$B:$B,MATCH(A9,FX!$A:$A,1)),""))</f>
        <v/>
      </c>
      <c r="D9" s="14" t="str">
        <f aca="false">IF(A9="","",SUMIFS(Transactions!$D:$D,Transactions!$A:$A,"&lt;="&amp;A9,Transactions!$B:$B,Settings!$B$1))</f>
        <v/>
      </c>
      <c r="E9" s="14" t="str">
        <f aca="false">IF(A9="","",SUMIFS(Transactions!$C:$C,Transactions!$A:$A,"&lt;="&amp;A9,Transactions!$B:$B,Settings!$B$1)+SUMIFS(Transactions!$F:$F,Transactions!$A:$A,"&lt;="&amp;A9,Transactions!$B:$B,Settings!$B$1))</f>
        <v/>
      </c>
      <c r="F9" s="14" t="str">
        <f aca="false">IF(A9="","",IF(C9="","",D9*B9*C9))</f>
        <v/>
      </c>
      <c r="G9" s="14" t="str">
        <f aca="false">IF(F9="","",F9-E9)</f>
        <v/>
      </c>
      <c r="H9" s="14" t="str">
        <f aca="false">IF(F9="","",IFERROR(F9-F8-(E9-E8),0))</f>
        <v/>
      </c>
    </row>
    <row r="10" customFormat="false" ht="15" hidden="false" customHeight="false" outlineLevel="0" collapsed="false">
      <c r="A10" s="13" t="str">
        <f aca="false">IF(Prices!A10="","",Prices!A10)</f>
        <v/>
      </c>
      <c r="B10" s="14" t="str">
        <f aca="false">IF(A10="","",Prices!C10)</f>
        <v/>
      </c>
      <c r="C10" s="15" t="str">
        <f aca="false">IF(A10="","",IFERROR(INDEX(FX!$B:$B,MATCH(A10,FX!$A:$A,1)),""))</f>
        <v/>
      </c>
      <c r="D10" s="14" t="str">
        <f aca="false">IF(A10="","",SUMIFS(Transactions!$D:$D,Transactions!$A:$A,"&lt;="&amp;A10,Transactions!$B:$B,Settings!$B$1))</f>
        <v/>
      </c>
      <c r="E10" s="14" t="str">
        <f aca="false">IF(A10="","",SUMIFS(Transactions!$C:$C,Transactions!$A:$A,"&lt;="&amp;A10,Transactions!$B:$B,Settings!$B$1)+SUMIFS(Transactions!$F:$F,Transactions!$A:$A,"&lt;="&amp;A10,Transactions!$B:$B,Settings!$B$1))</f>
        <v/>
      </c>
      <c r="F10" s="14" t="str">
        <f aca="false">IF(A10="","",IF(C10="","",D10*B10*C10))</f>
        <v/>
      </c>
      <c r="G10" s="14" t="str">
        <f aca="false">IF(F10="","",F10-E10)</f>
        <v/>
      </c>
      <c r="H10" s="14" t="str">
        <f aca="false">IF(F10="","",IFERROR(F10-F9-(E10-E9),0))</f>
        <v/>
      </c>
    </row>
    <row r="11" customFormat="false" ht="15" hidden="false" customHeight="false" outlineLevel="0" collapsed="false">
      <c r="A11" s="13" t="str">
        <f aca="false">IF(Prices!A11="","",Prices!A11)</f>
        <v/>
      </c>
      <c r="B11" s="14" t="str">
        <f aca="false">IF(A11="","",Prices!C11)</f>
        <v/>
      </c>
      <c r="C11" s="15" t="str">
        <f aca="false">IF(A11="","",IFERROR(INDEX(FX!$B:$B,MATCH(A11,FX!$A:$A,1)),""))</f>
        <v/>
      </c>
      <c r="D11" s="14" t="str">
        <f aca="false">IF(A11="","",SUMIFS(Transactions!$D:$D,Transactions!$A:$A,"&lt;="&amp;A11,Transactions!$B:$B,Settings!$B$1))</f>
        <v/>
      </c>
      <c r="E11" s="14" t="str">
        <f aca="false">IF(A11="","",SUMIFS(Transactions!$C:$C,Transactions!$A:$A,"&lt;="&amp;A11,Transactions!$B:$B,Settings!$B$1)+SUMIFS(Transactions!$F:$F,Transactions!$A:$A,"&lt;="&amp;A11,Transactions!$B:$B,Settings!$B$1))</f>
        <v/>
      </c>
      <c r="F11" s="14" t="str">
        <f aca="false">IF(A11="","",IF(C11="","",D11*B11*C11))</f>
        <v/>
      </c>
      <c r="G11" s="14" t="str">
        <f aca="false">IF(F11="","",F11-E11)</f>
        <v/>
      </c>
      <c r="H11" s="14" t="str">
        <f aca="false">IF(F11="","",IFERROR(F11-F10-(E11-E10),0))</f>
        <v/>
      </c>
    </row>
    <row r="12" customFormat="false" ht="15" hidden="false" customHeight="false" outlineLevel="0" collapsed="false">
      <c r="A12" s="13" t="str">
        <f aca="false">IF(Prices!A12="","",Prices!A12)</f>
        <v/>
      </c>
      <c r="B12" s="14" t="str">
        <f aca="false">IF(A12="","",Prices!C12)</f>
        <v/>
      </c>
      <c r="C12" s="15" t="str">
        <f aca="false">IF(A12="","",IFERROR(INDEX(FX!$B:$B,MATCH(A12,FX!$A:$A,1)),""))</f>
        <v/>
      </c>
      <c r="D12" s="14" t="str">
        <f aca="false">IF(A12="","",SUMIFS(Transactions!$D:$D,Transactions!$A:$A,"&lt;="&amp;A12,Transactions!$B:$B,Settings!$B$1))</f>
        <v/>
      </c>
      <c r="E12" s="14" t="str">
        <f aca="false">IF(A12="","",SUMIFS(Transactions!$C:$C,Transactions!$A:$A,"&lt;="&amp;A12,Transactions!$B:$B,Settings!$B$1)+SUMIFS(Transactions!$F:$F,Transactions!$A:$A,"&lt;="&amp;A12,Transactions!$B:$B,Settings!$B$1))</f>
        <v/>
      </c>
      <c r="F12" s="14" t="str">
        <f aca="false">IF(A12="","",IF(C12="","",D12*B12*C12))</f>
        <v/>
      </c>
      <c r="G12" s="14" t="str">
        <f aca="false">IF(F12="","",F12-E12)</f>
        <v/>
      </c>
      <c r="H12" s="14" t="str">
        <f aca="false">IF(F12="","",IFERROR(F12-F11-(E12-E11),0))</f>
        <v/>
      </c>
    </row>
    <row r="13" customFormat="false" ht="15" hidden="false" customHeight="false" outlineLevel="0" collapsed="false">
      <c r="A13" s="13" t="str">
        <f aca="false">IF(Prices!A13="","",Prices!A13)</f>
        <v/>
      </c>
      <c r="B13" s="14" t="str">
        <f aca="false">IF(A13="","",Prices!C13)</f>
        <v/>
      </c>
      <c r="C13" s="15" t="str">
        <f aca="false">IF(A13="","",IFERROR(INDEX(FX!$B:$B,MATCH(A13,FX!$A:$A,1)),""))</f>
        <v/>
      </c>
      <c r="D13" s="14" t="str">
        <f aca="false">IF(A13="","",SUMIFS(Transactions!$D:$D,Transactions!$A:$A,"&lt;="&amp;A13,Transactions!$B:$B,Settings!$B$1))</f>
        <v/>
      </c>
      <c r="E13" s="14" t="str">
        <f aca="false">IF(A13="","",SUMIFS(Transactions!$C:$C,Transactions!$A:$A,"&lt;="&amp;A13,Transactions!$B:$B,Settings!$B$1)+SUMIFS(Transactions!$F:$F,Transactions!$A:$A,"&lt;="&amp;A13,Transactions!$B:$B,Settings!$B$1))</f>
        <v/>
      </c>
      <c r="F13" s="14" t="str">
        <f aca="false">IF(A13="","",IF(C13="","",D13*B13*C13))</f>
        <v/>
      </c>
      <c r="G13" s="14" t="str">
        <f aca="false">IF(F13="","",F13-E13)</f>
        <v/>
      </c>
      <c r="H13" s="14" t="str">
        <f aca="false">IF(F13="","",IFERROR(F13-F12-(E13-E12),0))</f>
        <v/>
      </c>
    </row>
    <row r="14" customFormat="false" ht="15" hidden="false" customHeight="false" outlineLevel="0" collapsed="false">
      <c r="A14" s="13" t="str">
        <f aca="false">IF(Prices!A14="","",Prices!A14)</f>
        <v/>
      </c>
      <c r="B14" s="14" t="str">
        <f aca="false">IF(A14="","",Prices!C14)</f>
        <v/>
      </c>
      <c r="C14" s="15" t="str">
        <f aca="false">IF(A14="","",IFERROR(INDEX(FX!$B:$B,MATCH(A14,FX!$A:$A,1)),""))</f>
        <v/>
      </c>
      <c r="D14" s="14" t="str">
        <f aca="false">IF(A14="","",SUMIFS(Transactions!$D:$D,Transactions!$A:$A,"&lt;="&amp;A14,Transactions!$B:$B,Settings!$B$1))</f>
        <v/>
      </c>
      <c r="E14" s="14" t="str">
        <f aca="false">IF(A14="","",SUMIFS(Transactions!$C:$C,Transactions!$A:$A,"&lt;="&amp;A14,Transactions!$B:$B,Settings!$B$1)+SUMIFS(Transactions!$F:$F,Transactions!$A:$A,"&lt;="&amp;A14,Transactions!$B:$B,Settings!$B$1))</f>
        <v/>
      </c>
      <c r="F14" s="14" t="str">
        <f aca="false">IF(A14="","",IF(C14="","",D14*B14*C14))</f>
        <v/>
      </c>
      <c r="G14" s="14" t="str">
        <f aca="false">IF(F14="","",F14-E14)</f>
        <v/>
      </c>
      <c r="H14" s="14" t="str">
        <f aca="false">IF(F14="","",IFERROR(F14-F13-(E14-E13),0))</f>
        <v/>
      </c>
    </row>
    <row r="15" customFormat="false" ht="15" hidden="false" customHeight="false" outlineLevel="0" collapsed="false">
      <c r="A15" s="13" t="str">
        <f aca="false">IF(Prices!A15="","",Prices!A15)</f>
        <v/>
      </c>
      <c r="B15" s="14" t="str">
        <f aca="false">IF(A15="","",Prices!C15)</f>
        <v/>
      </c>
      <c r="C15" s="15" t="str">
        <f aca="false">IF(A15="","",IFERROR(INDEX(FX!$B:$B,MATCH(A15,FX!$A:$A,1)),""))</f>
        <v/>
      </c>
      <c r="D15" s="14" t="str">
        <f aca="false">IF(A15="","",SUMIFS(Transactions!$D:$D,Transactions!$A:$A,"&lt;="&amp;A15,Transactions!$B:$B,Settings!$B$1))</f>
        <v/>
      </c>
      <c r="E15" s="14" t="str">
        <f aca="false">IF(A15="","",SUMIFS(Transactions!$C:$C,Transactions!$A:$A,"&lt;="&amp;A15,Transactions!$B:$B,Settings!$B$1)+SUMIFS(Transactions!$F:$F,Transactions!$A:$A,"&lt;="&amp;A15,Transactions!$B:$B,Settings!$B$1))</f>
        <v/>
      </c>
      <c r="F15" s="14" t="str">
        <f aca="false">IF(A15="","",IF(C15="","",D15*B15*C15))</f>
        <v/>
      </c>
      <c r="G15" s="14" t="str">
        <f aca="false">IF(F15="","",F15-E15)</f>
        <v/>
      </c>
      <c r="H15" s="14" t="str">
        <f aca="false">IF(F15="","",IFERROR(F15-F14-(E15-E14),0))</f>
        <v/>
      </c>
    </row>
    <row r="16" customFormat="false" ht="15" hidden="false" customHeight="false" outlineLevel="0" collapsed="false">
      <c r="A16" s="13" t="str">
        <f aca="false">IF(Prices!A16="","",Prices!A16)</f>
        <v/>
      </c>
      <c r="B16" s="14" t="str">
        <f aca="false">IF(A16="","",Prices!C16)</f>
        <v/>
      </c>
      <c r="C16" s="15" t="str">
        <f aca="false">IF(A16="","",IFERROR(INDEX(FX!$B:$B,MATCH(A16,FX!$A:$A,1)),""))</f>
        <v/>
      </c>
      <c r="D16" s="14" t="str">
        <f aca="false">IF(A16="","",SUMIFS(Transactions!$D:$D,Transactions!$A:$A,"&lt;="&amp;A16,Transactions!$B:$B,Settings!$B$1))</f>
        <v/>
      </c>
      <c r="E16" s="14" t="str">
        <f aca="false">IF(A16="","",SUMIFS(Transactions!$C:$C,Transactions!$A:$A,"&lt;="&amp;A16,Transactions!$B:$B,Settings!$B$1)+SUMIFS(Transactions!$F:$F,Transactions!$A:$A,"&lt;="&amp;A16,Transactions!$B:$B,Settings!$B$1))</f>
        <v/>
      </c>
      <c r="F16" s="14" t="str">
        <f aca="false">IF(A16="","",IF(C16="","",D16*B16*C16))</f>
        <v/>
      </c>
      <c r="G16" s="14" t="str">
        <f aca="false">IF(F16="","",F16-E16)</f>
        <v/>
      </c>
      <c r="H16" s="14" t="str">
        <f aca="false">IF(F16="","",IFERROR(F16-F15-(E16-E15),0))</f>
        <v/>
      </c>
    </row>
    <row r="17" customFormat="false" ht="15" hidden="false" customHeight="false" outlineLevel="0" collapsed="false">
      <c r="A17" s="13" t="str">
        <f aca="false">IF(Prices!A17="","",Prices!A17)</f>
        <v/>
      </c>
      <c r="B17" s="14" t="str">
        <f aca="false">IF(A17="","",Prices!C17)</f>
        <v/>
      </c>
      <c r="C17" s="15" t="str">
        <f aca="false">IF(A17="","",IFERROR(INDEX(FX!$B:$B,MATCH(A17,FX!$A:$A,1)),""))</f>
        <v/>
      </c>
      <c r="D17" s="14" t="str">
        <f aca="false">IF(A17="","",SUMIFS(Transactions!$D:$D,Transactions!$A:$A,"&lt;="&amp;A17,Transactions!$B:$B,Settings!$B$1))</f>
        <v/>
      </c>
      <c r="E17" s="14" t="str">
        <f aca="false">IF(A17="","",SUMIFS(Transactions!$C:$C,Transactions!$A:$A,"&lt;="&amp;A17,Transactions!$B:$B,Settings!$B$1)+SUMIFS(Transactions!$F:$F,Transactions!$A:$A,"&lt;="&amp;A17,Transactions!$B:$B,Settings!$B$1))</f>
        <v/>
      </c>
      <c r="F17" s="14" t="str">
        <f aca="false">IF(A17="","",IF(C17="","",D17*B17*C17))</f>
        <v/>
      </c>
      <c r="G17" s="14" t="str">
        <f aca="false">IF(F17="","",F17-E17)</f>
        <v/>
      </c>
      <c r="H17" s="14" t="str">
        <f aca="false">IF(F17="","",IFERROR(F17-F16-(E17-E16),0))</f>
        <v/>
      </c>
    </row>
    <row r="18" customFormat="false" ht="15" hidden="false" customHeight="false" outlineLevel="0" collapsed="false">
      <c r="A18" s="13" t="str">
        <f aca="false">IF(Prices!A18="","",Prices!A18)</f>
        <v/>
      </c>
      <c r="B18" s="14" t="str">
        <f aca="false">IF(A18="","",Prices!C18)</f>
        <v/>
      </c>
      <c r="C18" s="15" t="str">
        <f aca="false">IF(A18="","",IFERROR(INDEX(FX!$B:$B,MATCH(A18,FX!$A:$A,1)),""))</f>
        <v/>
      </c>
      <c r="D18" s="14" t="str">
        <f aca="false">IF(A18="","",SUMIFS(Transactions!$D:$D,Transactions!$A:$A,"&lt;="&amp;A18,Transactions!$B:$B,Settings!$B$1))</f>
        <v/>
      </c>
      <c r="E18" s="14" t="str">
        <f aca="false">IF(A18="","",SUMIFS(Transactions!$C:$C,Transactions!$A:$A,"&lt;="&amp;A18,Transactions!$B:$B,Settings!$B$1)+SUMIFS(Transactions!$F:$F,Transactions!$A:$A,"&lt;="&amp;A18,Transactions!$B:$B,Settings!$B$1))</f>
        <v/>
      </c>
      <c r="F18" s="14" t="str">
        <f aca="false">IF(A18="","",IF(C18="","",D18*B18*C18))</f>
        <v/>
      </c>
      <c r="G18" s="14" t="str">
        <f aca="false">IF(F18="","",F18-E18)</f>
        <v/>
      </c>
      <c r="H18" s="14" t="str">
        <f aca="false">IF(F18="","",IFERROR(F18-F17-(E18-E17),0))</f>
        <v/>
      </c>
    </row>
    <row r="19" customFormat="false" ht="15" hidden="false" customHeight="false" outlineLevel="0" collapsed="false">
      <c r="A19" s="13" t="str">
        <f aca="false">IF(Prices!A19="","",Prices!A19)</f>
        <v/>
      </c>
      <c r="B19" s="14" t="str">
        <f aca="false">IF(A19="","",Prices!C19)</f>
        <v/>
      </c>
      <c r="C19" s="15" t="str">
        <f aca="false">IF(A19="","",IFERROR(INDEX(FX!$B:$B,MATCH(A19,FX!$A:$A,1)),""))</f>
        <v/>
      </c>
      <c r="D19" s="14" t="str">
        <f aca="false">IF(A19="","",SUMIFS(Transactions!$D:$D,Transactions!$A:$A,"&lt;="&amp;A19,Transactions!$B:$B,Settings!$B$1))</f>
        <v/>
      </c>
      <c r="E19" s="14" t="str">
        <f aca="false">IF(A19="","",SUMIFS(Transactions!$C:$C,Transactions!$A:$A,"&lt;="&amp;A19,Transactions!$B:$B,Settings!$B$1)+SUMIFS(Transactions!$F:$F,Transactions!$A:$A,"&lt;="&amp;A19,Transactions!$B:$B,Settings!$B$1))</f>
        <v/>
      </c>
      <c r="F19" s="14" t="str">
        <f aca="false">IF(A19="","",IF(C19="","",D19*B19*C19))</f>
        <v/>
      </c>
      <c r="G19" s="14" t="str">
        <f aca="false">IF(F19="","",F19-E19)</f>
        <v/>
      </c>
      <c r="H19" s="14" t="str">
        <f aca="false">IF(F19="","",IFERROR(F19-F18-(E19-E18),0))</f>
        <v/>
      </c>
    </row>
    <row r="20" customFormat="false" ht="15" hidden="false" customHeight="false" outlineLevel="0" collapsed="false">
      <c r="A20" s="13" t="str">
        <f aca="false">IF(Prices!A20="","",Prices!A20)</f>
        <v/>
      </c>
      <c r="B20" s="14" t="str">
        <f aca="false">IF(A20="","",Prices!C20)</f>
        <v/>
      </c>
      <c r="C20" s="15" t="str">
        <f aca="false">IF(A20="","",IFERROR(INDEX(FX!$B:$B,MATCH(A20,FX!$A:$A,1)),""))</f>
        <v/>
      </c>
      <c r="D20" s="14" t="str">
        <f aca="false">IF(A20="","",SUMIFS(Transactions!$D:$D,Transactions!$A:$A,"&lt;="&amp;A20,Transactions!$B:$B,Settings!$B$1))</f>
        <v/>
      </c>
      <c r="E20" s="14" t="str">
        <f aca="false">IF(A20="","",SUMIFS(Transactions!$C:$C,Transactions!$A:$A,"&lt;="&amp;A20,Transactions!$B:$B,Settings!$B$1)+SUMIFS(Transactions!$F:$F,Transactions!$A:$A,"&lt;="&amp;A20,Transactions!$B:$B,Settings!$B$1))</f>
        <v/>
      </c>
      <c r="F20" s="14" t="str">
        <f aca="false">IF(A20="","",IF(C20="","",D20*B20*C20))</f>
        <v/>
      </c>
      <c r="G20" s="14" t="str">
        <f aca="false">IF(F20="","",F20-E20)</f>
        <v/>
      </c>
      <c r="H20" s="14" t="str">
        <f aca="false">IF(F20="","",IFERROR(F20-F19-(E20-E19),0))</f>
        <v/>
      </c>
    </row>
    <row r="21" customFormat="false" ht="15" hidden="false" customHeight="false" outlineLevel="0" collapsed="false">
      <c r="A21" s="13" t="str">
        <f aca="false">IF(Prices!A21="","",Prices!A21)</f>
        <v/>
      </c>
      <c r="B21" s="14" t="str">
        <f aca="false">IF(A21="","",Prices!C21)</f>
        <v/>
      </c>
      <c r="C21" s="15" t="str">
        <f aca="false">IF(A21="","",IFERROR(INDEX(FX!$B:$B,MATCH(A21,FX!$A:$A,1)),""))</f>
        <v/>
      </c>
      <c r="D21" s="14" t="str">
        <f aca="false">IF(A21="","",SUMIFS(Transactions!$D:$D,Transactions!$A:$A,"&lt;="&amp;A21,Transactions!$B:$B,Settings!$B$1))</f>
        <v/>
      </c>
      <c r="E21" s="14" t="str">
        <f aca="false">IF(A21="","",SUMIFS(Transactions!$C:$C,Transactions!$A:$A,"&lt;="&amp;A21,Transactions!$B:$B,Settings!$B$1)+SUMIFS(Transactions!$F:$F,Transactions!$A:$A,"&lt;="&amp;A21,Transactions!$B:$B,Settings!$B$1))</f>
        <v/>
      </c>
      <c r="F21" s="14" t="str">
        <f aca="false">IF(A21="","",IF(C21="","",D21*B21*C21))</f>
        <v/>
      </c>
      <c r="G21" s="14" t="str">
        <f aca="false">IF(F21="","",F21-E21)</f>
        <v/>
      </c>
      <c r="H21" s="14" t="str">
        <f aca="false">IF(F21="","",IFERROR(F21-F20-(E21-E20),0))</f>
        <v/>
      </c>
    </row>
    <row r="22" customFormat="false" ht="15" hidden="false" customHeight="false" outlineLevel="0" collapsed="false">
      <c r="A22" s="13" t="str">
        <f aca="false">IF(Prices!A22="","",Prices!A22)</f>
        <v/>
      </c>
      <c r="B22" s="14" t="str">
        <f aca="false">IF(A22="","",Prices!C22)</f>
        <v/>
      </c>
      <c r="C22" s="15" t="str">
        <f aca="false">IF(A22="","",IFERROR(INDEX(FX!$B:$B,MATCH(A22,FX!$A:$A,1)),""))</f>
        <v/>
      </c>
      <c r="D22" s="14" t="str">
        <f aca="false">IF(A22="","",SUMIFS(Transactions!$D:$D,Transactions!$A:$A,"&lt;="&amp;A22,Transactions!$B:$B,Settings!$B$1))</f>
        <v/>
      </c>
      <c r="E22" s="14" t="str">
        <f aca="false">IF(A22="","",SUMIFS(Transactions!$C:$C,Transactions!$A:$A,"&lt;="&amp;A22,Transactions!$B:$B,Settings!$B$1)+SUMIFS(Transactions!$F:$F,Transactions!$A:$A,"&lt;="&amp;A22,Transactions!$B:$B,Settings!$B$1))</f>
        <v/>
      </c>
      <c r="F22" s="14" t="str">
        <f aca="false">IF(A22="","",IF(C22="","",D22*B22*C22))</f>
        <v/>
      </c>
      <c r="G22" s="14" t="str">
        <f aca="false">IF(F22="","",F22-E22)</f>
        <v/>
      </c>
      <c r="H22" s="14" t="str">
        <f aca="false">IF(F22="","",IFERROR(F22-F21-(E22-E21),0))</f>
        <v/>
      </c>
    </row>
    <row r="23" customFormat="false" ht="15" hidden="false" customHeight="false" outlineLevel="0" collapsed="false">
      <c r="A23" s="13" t="str">
        <f aca="false">IF(Prices!A23="","",Prices!A23)</f>
        <v/>
      </c>
      <c r="B23" s="14" t="str">
        <f aca="false">IF(A23="","",Prices!C23)</f>
        <v/>
      </c>
      <c r="C23" s="15" t="str">
        <f aca="false">IF(A23="","",IFERROR(INDEX(FX!$B:$B,MATCH(A23,FX!$A:$A,1)),""))</f>
        <v/>
      </c>
      <c r="D23" s="14" t="str">
        <f aca="false">IF(A23="","",SUMIFS(Transactions!$D:$D,Transactions!$A:$A,"&lt;="&amp;A23,Transactions!$B:$B,Settings!$B$1))</f>
        <v/>
      </c>
      <c r="E23" s="14" t="str">
        <f aca="false">IF(A23="","",SUMIFS(Transactions!$C:$C,Transactions!$A:$A,"&lt;="&amp;A23,Transactions!$B:$B,Settings!$B$1)+SUMIFS(Transactions!$F:$F,Transactions!$A:$A,"&lt;="&amp;A23,Transactions!$B:$B,Settings!$B$1))</f>
        <v/>
      </c>
      <c r="F23" s="14" t="str">
        <f aca="false">IF(A23="","",IF(C23="","",D23*B23*C23))</f>
        <v/>
      </c>
      <c r="G23" s="14" t="str">
        <f aca="false">IF(F23="","",F23-E23)</f>
        <v/>
      </c>
      <c r="H23" s="14" t="str">
        <f aca="false">IF(F23="","",IFERROR(F23-F22-(E23-E22),0))</f>
        <v/>
      </c>
    </row>
    <row r="24" customFormat="false" ht="15" hidden="false" customHeight="false" outlineLevel="0" collapsed="false">
      <c r="A24" s="13" t="str">
        <f aca="false">IF(Prices!A24="","",Prices!A24)</f>
        <v/>
      </c>
      <c r="B24" s="14" t="str">
        <f aca="false">IF(A24="","",Prices!C24)</f>
        <v/>
      </c>
      <c r="C24" s="15" t="str">
        <f aca="false">IF(A24="","",IFERROR(INDEX(FX!$B:$B,MATCH(A24,FX!$A:$A,1)),""))</f>
        <v/>
      </c>
      <c r="D24" s="14" t="str">
        <f aca="false">IF(A24="","",SUMIFS(Transactions!$D:$D,Transactions!$A:$A,"&lt;="&amp;A24,Transactions!$B:$B,Settings!$B$1))</f>
        <v/>
      </c>
      <c r="E24" s="14" t="str">
        <f aca="false">IF(A24="","",SUMIFS(Transactions!$C:$C,Transactions!$A:$A,"&lt;="&amp;A24,Transactions!$B:$B,Settings!$B$1)+SUMIFS(Transactions!$F:$F,Transactions!$A:$A,"&lt;="&amp;A24,Transactions!$B:$B,Settings!$B$1))</f>
        <v/>
      </c>
      <c r="F24" s="14" t="str">
        <f aca="false">IF(A24="","",IF(C24="","",D24*B24*C24))</f>
        <v/>
      </c>
      <c r="G24" s="14" t="str">
        <f aca="false">IF(F24="","",F24-E24)</f>
        <v/>
      </c>
      <c r="H24" s="14" t="str">
        <f aca="false">IF(F24="","",IFERROR(F24-F23-(E24-E23),0))</f>
        <v/>
      </c>
    </row>
    <row r="25" customFormat="false" ht="15" hidden="false" customHeight="false" outlineLevel="0" collapsed="false">
      <c r="A25" s="13" t="str">
        <f aca="false">IF(Prices!A25="","",Prices!A25)</f>
        <v/>
      </c>
      <c r="B25" s="14" t="str">
        <f aca="false">IF(A25="","",Prices!C25)</f>
        <v/>
      </c>
      <c r="C25" s="15" t="str">
        <f aca="false">IF(A25="","",IFERROR(INDEX(FX!$B:$B,MATCH(A25,FX!$A:$A,1)),""))</f>
        <v/>
      </c>
      <c r="D25" s="14" t="str">
        <f aca="false">IF(A25="","",SUMIFS(Transactions!$D:$D,Transactions!$A:$A,"&lt;="&amp;A25,Transactions!$B:$B,Settings!$B$1))</f>
        <v/>
      </c>
      <c r="E25" s="14" t="str">
        <f aca="false">IF(A25="","",SUMIFS(Transactions!$C:$C,Transactions!$A:$A,"&lt;="&amp;A25,Transactions!$B:$B,Settings!$B$1)+SUMIFS(Transactions!$F:$F,Transactions!$A:$A,"&lt;="&amp;A25,Transactions!$B:$B,Settings!$B$1))</f>
        <v/>
      </c>
      <c r="F25" s="14" t="str">
        <f aca="false">IF(A25="","",IF(C25="","",D25*B25*C25))</f>
        <v/>
      </c>
      <c r="G25" s="14" t="str">
        <f aca="false">IF(F25="","",F25-E25)</f>
        <v/>
      </c>
      <c r="H25" s="14" t="str">
        <f aca="false">IF(F25="","",IFERROR(F25-F24-(E25-E24),0))</f>
        <v/>
      </c>
    </row>
    <row r="26" customFormat="false" ht="15" hidden="false" customHeight="false" outlineLevel="0" collapsed="false">
      <c r="A26" s="13" t="str">
        <f aca="false">IF(Prices!A26="","",Prices!A26)</f>
        <v/>
      </c>
      <c r="B26" s="14" t="str">
        <f aca="false">IF(A26="","",Prices!C26)</f>
        <v/>
      </c>
      <c r="C26" s="15" t="str">
        <f aca="false">IF(A26="","",IFERROR(INDEX(FX!$B:$B,MATCH(A26,FX!$A:$A,1)),""))</f>
        <v/>
      </c>
      <c r="D26" s="14" t="str">
        <f aca="false">IF(A26="","",SUMIFS(Transactions!$D:$D,Transactions!$A:$A,"&lt;="&amp;A26,Transactions!$B:$B,Settings!$B$1))</f>
        <v/>
      </c>
      <c r="E26" s="14" t="str">
        <f aca="false">IF(A26="","",SUMIFS(Transactions!$C:$C,Transactions!$A:$A,"&lt;="&amp;A26,Transactions!$B:$B,Settings!$B$1)+SUMIFS(Transactions!$F:$F,Transactions!$A:$A,"&lt;="&amp;A26,Transactions!$B:$B,Settings!$B$1))</f>
        <v/>
      </c>
      <c r="F26" s="14" t="str">
        <f aca="false">IF(A26="","",IF(C26="","",D26*B26*C26))</f>
        <v/>
      </c>
      <c r="G26" s="14" t="str">
        <f aca="false">IF(F26="","",F26-E26)</f>
        <v/>
      </c>
      <c r="H26" s="14" t="str">
        <f aca="false">IF(F26="","",IFERROR(F26-F25-(E26-E25),0))</f>
        <v/>
      </c>
    </row>
    <row r="27" customFormat="false" ht="15" hidden="false" customHeight="false" outlineLevel="0" collapsed="false">
      <c r="A27" s="13" t="str">
        <f aca="false">IF(Prices!A27="","",Prices!A27)</f>
        <v/>
      </c>
      <c r="B27" s="14" t="str">
        <f aca="false">IF(A27="","",Prices!C27)</f>
        <v/>
      </c>
      <c r="C27" s="15" t="str">
        <f aca="false">IF(A27="","",IFERROR(INDEX(FX!$B:$B,MATCH(A27,FX!$A:$A,1)),""))</f>
        <v/>
      </c>
      <c r="D27" s="14" t="str">
        <f aca="false">IF(A27="","",SUMIFS(Transactions!$D:$D,Transactions!$A:$A,"&lt;="&amp;A27,Transactions!$B:$B,Settings!$B$1))</f>
        <v/>
      </c>
      <c r="E27" s="14" t="str">
        <f aca="false">IF(A27="","",SUMIFS(Transactions!$C:$C,Transactions!$A:$A,"&lt;="&amp;A27,Transactions!$B:$B,Settings!$B$1)+SUMIFS(Transactions!$F:$F,Transactions!$A:$A,"&lt;="&amp;A27,Transactions!$B:$B,Settings!$B$1))</f>
        <v/>
      </c>
      <c r="F27" s="14" t="str">
        <f aca="false">IF(A27="","",IF(C27="","",D27*B27*C27))</f>
        <v/>
      </c>
      <c r="G27" s="14" t="str">
        <f aca="false">IF(F27="","",F27-E27)</f>
        <v/>
      </c>
      <c r="H27" s="14" t="str">
        <f aca="false">IF(F27="","",IFERROR(F27-F26-(E27-E26),0))</f>
        <v/>
      </c>
    </row>
    <row r="28" customFormat="false" ht="15" hidden="false" customHeight="false" outlineLevel="0" collapsed="false">
      <c r="A28" s="13" t="str">
        <f aca="false">IF(Prices!A28="","",Prices!A28)</f>
        <v/>
      </c>
      <c r="B28" s="14" t="str">
        <f aca="false">IF(A28="","",Prices!C28)</f>
        <v/>
      </c>
      <c r="C28" s="15" t="str">
        <f aca="false">IF(A28="","",IFERROR(INDEX(FX!$B:$B,MATCH(A28,FX!$A:$A,1)),""))</f>
        <v/>
      </c>
      <c r="D28" s="14" t="str">
        <f aca="false">IF(A28="","",SUMIFS(Transactions!$D:$D,Transactions!$A:$A,"&lt;="&amp;A28,Transactions!$B:$B,Settings!$B$1))</f>
        <v/>
      </c>
      <c r="E28" s="14" t="str">
        <f aca="false">IF(A28="","",SUMIFS(Transactions!$C:$C,Transactions!$A:$A,"&lt;="&amp;A28,Transactions!$B:$B,Settings!$B$1)+SUMIFS(Transactions!$F:$F,Transactions!$A:$A,"&lt;="&amp;A28,Transactions!$B:$B,Settings!$B$1))</f>
        <v/>
      </c>
      <c r="F28" s="14" t="str">
        <f aca="false">IF(A28="","",IF(C28="","",D28*B28*C28))</f>
        <v/>
      </c>
      <c r="G28" s="14" t="str">
        <f aca="false">IF(F28="","",F28-E28)</f>
        <v/>
      </c>
      <c r="H28" s="14" t="str">
        <f aca="false">IF(F28="","",IFERROR(F28-F27-(E28-E27),0))</f>
        <v/>
      </c>
    </row>
    <row r="29" customFormat="false" ht="15" hidden="false" customHeight="false" outlineLevel="0" collapsed="false">
      <c r="A29" s="13" t="str">
        <f aca="false">IF(Prices!A29="","",Prices!A29)</f>
        <v/>
      </c>
      <c r="B29" s="14" t="str">
        <f aca="false">IF(A29="","",Prices!C29)</f>
        <v/>
      </c>
      <c r="C29" s="15" t="str">
        <f aca="false">IF(A29="","",IFERROR(INDEX(FX!$B:$B,MATCH(A29,FX!$A:$A,1)),""))</f>
        <v/>
      </c>
      <c r="D29" s="14" t="str">
        <f aca="false">IF(A29="","",SUMIFS(Transactions!$D:$D,Transactions!$A:$A,"&lt;="&amp;A29,Transactions!$B:$B,Settings!$B$1))</f>
        <v/>
      </c>
      <c r="E29" s="14" t="str">
        <f aca="false">IF(A29="","",SUMIFS(Transactions!$C:$C,Transactions!$A:$A,"&lt;="&amp;A29,Transactions!$B:$B,Settings!$B$1)+SUMIFS(Transactions!$F:$F,Transactions!$A:$A,"&lt;="&amp;A29,Transactions!$B:$B,Settings!$B$1))</f>
        <v/>
      </c>
      <c r="F29" s="14" t="str">
        <f aca="false">IF(A29="","",IF(C29="","",D29*B29*C29))</f>
        <v/>
      </c>
      <c r="G29" s="14" t="str">
        <f aca="false">IF(F29="","",F29-E29)</f>
        <v/>
      </c>
      <c r="H29" s="14" t="str">
        <f aca="false">IF(F29="","",IFERROR(F29-F28-(E29-E28),0))</f>
        <v/>
      </c>
    </row>
    <row r="30" customFormat="false" ht="15" hidden="false" customHeight="false" outlineLevel="0" collapsed="false">
      <c r="A30" s="13" t="str">
        <f aca="false">IF(Prices!A30="","",Prices!A30)</f>
        <v/>
      </c>
      <c r="B30" s="14" t="str">
        <f aca="false">IF(A30="","",Prices!C30)</f>
        <v/>
      </c>
      <c r="C30" s="15" t="str">
        <f aca="false">IF(A30="","",IFERROR(INDEX(FX!$B:$B,MATCH(A30,FX!$A:$A,1)),""))</f>
        <v/>
      </c>
      <c r="D30" s="14" t="str">
        <f aca="false">IF(A30="","",SUMIFS(Transactions!$D:$D,Transactions!$A:$A,"&lt;="&amp;A30,Transactions!$B:$B,Settings!$B$1))</f>
        <v/>
      </c>
      <c r="E30" s="14" t="str">
        <f aca="false">IF(A30="","",SUMIFS(Transactions!$C:$C,Transactions!$A:$A,"&lt;="&amp;A30,Transactions!$B:$B,Settings!$B$1)+SUMIFS(Transactions!$F:$F,Transactions!$A:$A,"&lt;="&amp;A30,Transactions!$B:$B,Settings!$B$1))</f>
        <v/>
      </c>
      <c r="F30" s="14" t="str">
        <f aca="false">IF(A30="","",IF(C30="","",D30*B30*C30))</f>
        <v/>
      </c>
      <c r="G30" s="14" t="str">
        <f aca="false">IF(F30="","",F30-E30)</f>
        <v/>
      </c>
      <c r="H30" s="14" t="str">
        <f aca="false">IF(F30="","",IFERROR(F30-F29-(E30-E29),0))</f>
        <v/>
      </c>
    </row>
    <row r="31" customFormat="false" ht="15" hidden="false" customHeight="false" outlineLevel="0" collapsed="false">
      <c r="A31" s="13" t="str">
        <f aca="false">IF(Prices!A31="","",Prices!A31)</f>
        <v/>
      </c>
      <c r="B31" s="14" t="str">
        <f aca="false">IF(A31="","",Prices!C31)</f>
        <v/>
      </c>
      <c r="C31" s="15" t="str">
        <f aca="false">IF(A31="","",IFERROR(INDEX(FX!$B:$B,MATCH(A31,FX!$A:$A,1)),""))</f>
        <v/>
      </c>
      <c r="D31" s="14" t="str">
        <f aca="false">IF(A31="","",SUMIFS(Transactions!$D:$D,Transactions!$A:$A,"&lt;="&amp;A31,Transactions!$B:$B,Settings!$B$1))</f>
        <v/>
      </c>
      <c r="E31" s="14" t="str">
        <f aca="false">IF(A31="","",SUMIFS(Transactions!$C:$C,Transactions!$A:$A,"&lt;="&amp;A31,Transactions!$B:$B,Settings!$B$1)+SUMIFS(Transactions!$F:$F,Transactions!$A:$A,"&lt;="&amp;A31,Transactions!$B:$B,Settings!$B$1))</f>
        <v/>
      </c>
      <c r="F31" s="14" t="str">
        <f aca="false">IF(A31="","",IF(C31="","",D31*B31*C31))</f>
        <v/>
      </c>
      <c r="G31" s="14" t="str">
        <f aca="false">IF(F31="","",F31-E31)</f>
        <v/>
      </c>
      <c r="H31" s="14" t="str">
        <f aca="false">IF(F31="","",IFERROR(F31-F30-(E31-E30),0))</f>
        <v/>
      </c>
    </row>
    <row r="32" customFormat="false" ht="15" hidden="false" customHeight="false" outlineLevel="0" collapsed="false">
      <c r="A32" s="13" t="str">
        <f aca="false">IF(Prices!A32="","",Prices!A32)</f>
        <v/>
      </c>
      <c r="B32" s="14" t="str">
        <f aca="false">IF(A32="","",Prices!C32)</f>
        <v/>
      </c>
      <c r="C32" s="15" t="str">
        <f aca="false">IF(A32="","",IFERROR(INDEX(FX!$B:$B,MATCH(A32,FX!$A:$A,1)),""))</f>
        <v/>
      </c>
      <c r="D32" s="14" t="str">
        <f aca="false">IF(A32="","",SUMIFS(Transactions!$D:$D,Transactions!$A:$A,"&lt;="&amp;A32,Transactions!$B:$B,Settings!$B$1))</f>
        <v/>
      </c>
      <c r="E32" s="14" t="str">
        <f aca="false">IF(A32="","",SUMIFS(Transactions!$C:$C,Transactions!$A:$A,"&lt;="&amp;A32,Transactions!$B:$B,Settings!$B$1)+SUMIFS(Transactions!$F:$F,Transactions!$A:$A,"&lt;="&amp;A32,Transactions!$B:$B,Settings!$B$1))</f>
        <v/>
      </c>
      <c r="F32" s="14" t="str">
        <f aca="false">IF(A32="","",IF(C32="","",D32*B32*C32))</f>
        <v/>
      </c>
      <c r="G32" s="14" t="str">
        <f aca="false">IF(F32="","",F32-E32)</f>
        <v/>
      </c>
      <c r="H32" s="14" t="str">
        <f aca="false">IF(F32="","",IFERROR(F32-F31-(E32-E31),0))</f>
        <v/>
      </c>
    </row>
    <row r="33" customFormat="false" ht="15" hidden="false" customHeight="false" outlineLevel="0" collapsed="false">
      <c r="A33" s="13" t="str">
        <f aca="false">IF(Prices!A33="","",Prices!A33)</f>
        <v/>
      </c>
      <c r="B33" s="14" t="str">
        <f aca="false">IF(A33="","",Prices!C33)</f>
        <v/>
      </c>
      <c r="C33" s="15" t="str">
        <f aca="false">IF(A33="","",IFERROR(INDEX(FX!$B:$B,MATCH(A33,FX!$A:$A,1)),""))</f>
        <v/>
      </c>
      <c r="D33" s="14" t="str">
        <f aca="false">IF(A33="","",SUMIFS(Transactions!$D:$D,Transactions!$A:$A,"&lt;="&amp;A33,Transactions!$B:$B,Settings!$B$1))</f>
        <v/>
      </c>
      <c r="E33" s="14" t="str">
        <f aca="false">IF(A33="","",SUMIFS(Transactions!$C:$C,Transactions!$A:$A,"&lt;="&amp;A33,Transactions!$B:$B,Settings!$B$1)+SUMIFS(Transactions!$F:$F,Transactions!$A:$A,"&lt;="&amp;A33,Transactions!$B:$B,Settings!$B$1))</f>
        <v/>
      </c>
      <c r="F33" s="14" t="str">
        <f aca="false">IF(A33="","",IF(C33="","",D33*B33*C33))</f>
        <v/>
      </c>
      <c r="G33" s="14" t="str">
        <f aca="false">IF(F33="","",F33-E33)</f>
        <v/>
      </c>
      <c r="H33" s="14" t="str">
        <f aca="false">IF(F33="","",IFERROR(F33-F32-(E33-E32),0))</f>
        <v/>
      </c>
    </row>
    <row r="34" customFormat="false" ht="15" hidden="false" customHeight="false" outlineLevel="0" collapsed="false">
      <c r="A34" s="13" t="str">
        <f aca="false">IF(Prices!A34="","",Prices!A34)</f>
        <v/>
      </c>
      <c r="B34" s="14" t="str">
        <f aca="false">IF(A34="","",Prices!C34)</f>
        <v/>
      </c>
      <c r="C34" s="15" t="str">
        <f aca="false">IF(A34="","",IFERROR(INDEX(FX!$B:$B,MATCH(A34,FX!$A:$A,1)),""))</f>
        <v/>
      </c>
      <c r="D34" s="14" t="str">
        <f aca="false">IF(A34="","",SUMIFS(Transactions!$D:$D,Transactions!$A:$A,"&lt;="&amp;A34,Transactions!$B:$B,Settings!$B$1))</f>
        <v/>
      </c>
      <c r="E34" s="14" t="str">
        <f aca="false">IF(A34="","",SUMIFS(Transactions!$C:$C,Transactions!$A:$A,"&lt;="&amp;A34,Transactions!$B:$B,Settings!$B$1)+SUMIFS(Transactions!$F:$F,Transactions!$A:$A,"&lt;="&amp;A34,Transactions!$B:$B,Settings!$B$1))</f>
        <v/>
      </c>
      <c r="F34" s="14" t="str">
        <f aca="false">IF(A34="","",IF(C34="","",D34*B34*C34))</f>
        <v/>
      </c>
      <c r="G34" s="14" t="str">
        <f aca="false">IF(F34="","",F34-E34)</f>
        <v/>
      </c>
      <c r="H34" s="14" t="str">
        <f aca="false">IF(F34="","",IFERROR(F34-F33-(E34-E33),0))</f>
        <v/>
      </c>
    </row>
    <row r="35" customFormat="false" ht="15" hidden="false" customHeight="false" outlineLevel="0" collapsed="false">
      <c r="A35" s="13" t="str">
        <f aca="false">IF(Prices!A35="","",Prices!A35)</f>
        <v/>
      </c>
      <c r="B35" s="14" t="str">
        <f aca="false">IF(A35="","",Prices!C35)</f>
        <v/>
      </c>
      <c r="C35" s="15" t="str">
        <f aca="false">IF(A35="","",IFERROR(INDEX(FX!$B:$B,MATCH(A35,FX!$A:$A,1)),""))</f>
        <v/>
      </c>
      <c r="D35" s="14" t="str">
        <f aca="false">IF(A35="","",SUMIFS(Transactions!$D:$D,Transactions!$A:$A,"&lt;="&amp;A35,Transactions!$B:$B,Settings!$B$1))</f>
        <v/>
      </c>
      <c r="E35" s="14" t="str">
        <f aca="false">IF(A35="","",SUMIFS(Transactions!$C:$C,Transactions!$A:$A,"&lt;="&amp;A35,Transactions!$B:$B,Settings!$B$1)+SUMIFS(Transactions!$F:$F,Transactions!$A:$A,"&lt;="&amp;A35,Transactions!$B:$B,Settings!$B$1))</f>
        <v/>
      </c>
      <c r="F35" s="14" t="str">
        <f aca="false">IF(A35="","",IF(C35="","",D35*B35*C35))</f>
        <v/>
      </c>
      <c r="G35" s="14" t="str">
        <f aca="false">IF(F35="","",F35-E35)</f>
        <v/>
      </c>
      <c r="H35" s="14" t="str">
        <f aca="false">IF(F35="","",IFERROR(F35-F34-(E35-E34),0))</f>
        <v/>
      </c>
    </row>
    <row r="36" customFormat="false" ht="15" hidden="false" customHeight="false" outlineLevel="0" collapsed="false">
      <c r="A36" s="13" t="str">
        <f aca="false">IF(Prices!A36="","",Prices!A36)</f>
        <v/>
      </c>
      <c r="B36" s="14" t="str">
        <f aca="false">IF(A36="","",Prices!C36)</f>
        <v/>
      </c>
      <c r="C36" s="15" t="str">
        <f aca="false">IF(A36="","",IFERROR(INDEX(FX!$B:$B,MATCH(A36,FX!$A:$A,1)),""))</f>
        <v/>
      </c>
      <c r="D36" s="14" t="str">
        <f aca="false">IF(A36="","",SUMIFS(Transactions!$D:$D,Transactions!$A:$A,"&lt;="&amp;A36,Transactions!$B:$B,Settings!$B$1))</f>
        <v/>
      </c>
      <c r="E36" s="14" t="str">
        <f aca="false">IF(A36="","",SUMIFS(Transactions!$C:$C,Transactions!$A:$A,"&lt;="&amp;A36,Transactions!$B:$B,Settings!$B$1)+SUMIFS(Transactions!$F:$F,Transactions!$A:$A,"&lt;="&amp;A36,Transactions!$B:$B,Settings!$B$1))</f>
        <v/>
      </c>
      <c r="F36" s="14" t="str">
        <f aca="false">IF(A36="","",IF(C36="","",D36*B36*C36))</f>
        <v/>
      </c>
      <c r="G36" s="14" t="str">
        <f aca="false">IF(F36="","",F36-E36)</f>
        <v/>
      </c>
      <c r="H36" s="14" t="str">
        <f aca="false">IF(F36="","",IFERROR(F36-F35-(E36-E35),0))</f>
        <v/>
      </c>
    </row>
    <row r="37" customFormat="false" ht="15" hidden="false" customHeight="false" outlineLevel="0" collapsed="false">
      <c r="A37" s="13" t="str">
        <f aca="false">IF(Prices!A37="","",Prices!A37)</f>
        <v/>
      </c>
      <c r="B37" s="14" t="str">
        <f aca="false">IF(A37="","",Prices!C37)</f>
        <v/>
      </c>
      <c r="C37" s="15" t="str">
        <f aca="false">IF(A37="","",IFERROR(INDEX(FX!$B:$B,MATCH(A37,FX!$A:$A,1)),""))</f>
        <v/>
      </c>
      <c r="D37" s="14" t="str">
        <f aca="false">IF(A37="","",SUMIFS(Transactions!$D:$D,Transactions!$A:$A,"&lt;="&amp;A37,Transactions!$B:$B,Settings!$B$1))</f>
        <v/>
      </c>
      <c r="E37" s="14" t="str">
        <f aca="false">IF(A37="","",SUMIFS(Transactions!$C:$C,Transactions!$A:$A,"&lt;="&amp;A37,Transactions!$B:$B,Settings!$B$1)+SUMIFS(Transactions!$F:$F,Transactions!$A:$A,"&lt;="&amp;A37,Transactions!$B:$B,Settings!$B$1))</f>
        <v/>
      </c>
      <c r="F37" s="14" t="str">
        <f aca="false">IF(A37="","",IF(C37="","",D37*B37*C37))</f>
        <v/>
      </c>
      <c r="G37" s="14" t="str">
        <f aca="false">IF(F37="","",F37-E37)</f>
        <v/>
      </c>
      <c r="H37" s="14" t="str">
        <f aca="false">IF(F37="","",IFERROR(F37-F36-(E37-E36),0))</f>
        <v/>
      </c>
    </row>
    <row r="38" customFormat="false" ht="15" hidden="false" customHeight="false" outlineLevel="0" collapsed="false">
      <c r="A38" s="13" t="str">
        <f aca="false">IF(Prices!A38="","",Prices!A38)</f>
        <v/>
      </c>
      <c r="B38" s="14" t="str">
        <f aca="false">IF(A38="","",Prices!C38)</f>
        <v/>
      </c>
      <c r="C38" s="15" t="str">
        <f aca="false">IF(A38="","",IFERROR(INDEX(FX!$B:$B,MATCH(A38,FX!$A:$A,1)),""))</f>
        <v/>
      </c>
      <c r="D38" s="14" t="str">
        <f aca="false">IF(A38="","",SUMIFS(Transactions!$D:$D,Transactions!$A:$A,"&lt;="&amp;A38,Transactions!$B:$B,Settings!$B$1))</f>
        <v/>
      </c>
      <c r="E38" s="14" t="str">
        <f aca="false">IF(A38="","",SUMIFS(Transactions!$C:$C,Transactions!$A:$A,"&lt;="&amp;A38,Transactions!$B:$B,Settings!$B$1)+SUMIFS(Transactions!$F:$F,Transactions!$A:$A,"&lt;="&amp;A38,Transactions!$B:$B,Settings!$B$1))</f>
        <v/>
      </c>
      <c r="F38" s="14" t="str">
        <f aca="false">IF(A38="","",IF(C38="","",D38*B38*C38))</f>
        <v/>
      </c>
      <c r="G38" s="14" t="str">
        <f aca="false">IF(F38="","",F38-E38)</f>
        <v/>
      </c>
      <c r="H38" s="14" t="str">
        <f aca="false">IF(F38="","",IFERROR(F38-F37-(E38-E37),0))</f>
        <v/>
      </c>
    </row>
    <row r="39" customFormat="false" ht="15" hidden="false" customHeight="false" outlineLevel="0" collapsed="false">
      <c r="A39" s="13" t="str">
        <f aca="false">IF(Prices!A39="","",Prices!A39)</f>
        <v/>
      </c>
      <c r="B39" s="14" t="str">
        <f aca="false">IF(A39="","",Prices!C39)</f>
        <v/>
      </c>
      <c r="C39" s="15" t="str">
        <f aca="false">IF(A39="","",IFERROR(INDEX(FX!$B:$B,MATCH(A39,FX!$A:$A,1)),""))</f>
        <v/>
      </c>
      <c r="D39" s="14" t="str">
        <f aca="false">IF(A39="","",SUMIFS(Transactions!$D:$D,Transactions!$A:$A,"&lt;="&amp;A39,Transactions!$B:$B,Settings!$B$1))</f>
        <v/>
      </c>
      <c r="E39" s="14" t="str">
        <f aca="false">IF(A39="","",SUMIFS(Transactions!$C:$C,Transactions!$A:$A,"&lt;="&amp;A39,Transactions!$B:$B,Settings!$B$1)+SUMIFS(Transactions!$F:$F,Transactions!$A:$A,"&lt;="&amp;A39,Transactions!$B:$B,Settings!$B$1))</f>
        <v/>
      </c>
      <c r="F39" s="14" t="str">
        <f aca="false">IF(A39="","",IF(C39="","",D39*B39*C39))</f>
        <v/>
      </c>
      <c r="G39" s="14" t="str">
        <f aca="false">IF(F39="","",F39-E39)</f>
        <v/>
      </c>
      <c r="H39" s="14" t="str">
        <f aca="false">IF(F39="","",IFERROR(F39-F38-(E39-E38),0))</f>
        <v/>
      </c>
    </row>
    <row r="40" customFormat="false" ht="15" hidden="false" customHeight="false" outlineLevel="0" collapsed="false">
      <c r="A40" s="13" t="str">
        <f aca="false">IF(Prices!A40="","",Prices!A40)</f>
        <v/>
      </c>
      <c r="B40" s="14" t="str">
        <f aca="false">IF(A40="","",Prices!C40)</f>
        <v/>
      </c>
      <c r="C40" s="15" t="str">
        <f aca="false">IF(A40="","",IFERROR(INDEX(FX!$B:$B,MATCH(A40,FX!$A:$A,1)),""))</f>
        <v/>
      </c>
      <c r="D40" s="14" t="str">
        <f aca="false">IF(A40="","",SUMIFS(Transactions!$D:$D,Transactions!$A:$A,"&lt;="&amp;A40,Transactions!$B:$B,Settings!$B$1))</f>
        <v/>
      </c>
      <c r="E40" s="14" t="str">
        <f aca="false">IF(A40="","",SUMIFS(Transactions!$C:$C,Transactions!$A:$A,"&lt;="&amp;A40,Transactions!$B:$B,Settings!$B$1)+SUMIFS(Transactions!$F:$F,Transactions!$A:$A,"&lt;="&amp;A40,Transactions!$B:$B,Settings!$B$1))</f>
        <v/>
      </c>
      <c r="F40" s="14" t="str">
        <f aca="false">IF(A40="","",IF(C40="","",D40*B40*C40))</f>
        <v/>
      </c>
      <c r="G40" s="14" t="str">
        <f aca="false">IF(F40="","",F40-E40)</f>
        <v/>
      </c>
      <c r="H40" s="14" t="str">
        <f aca="false">IF(F40="","",IFERROR(F40-F39-(E40-E39),0))</f>
        <v/>
      </c>
    </row>
    <row r="41" customFormat="false" ht="15" hidden="false" customHeight="false" outlineLevel="0" collapsed="false">
      <c r="A41" s="13" t="str">
        <f aca="false">IF(Prices!A41="","",Prices!A41)</f>
        <v/>
      </c>
      <c r="B41" s="14" t="str">
        <f aca="false">IF(A41="","",Prices!C41)</f>
        <v/>
      </c>
      <c r="C41" s="15" t="str">
        <f aca="false">IF(A41="","",IFERROR(INDEX(FX!$B:$B,MATCH(A41,FX!$A:$A,1)),""))</f>
        <v/>
      </c>
      <c r="D41" s="14" t="str">
        <f aca="false">IF(A41="","",SUMIFS(Transactions!$D:$D,Transactions!$A:$A,"&lt;="&amp;A41,Transactions!$B:$B,Settings!$B$1))</f>
        <v/>
      </c>
      <c r="E41" s="14" t="str">
        <f aca="false">IF(A41="","",SUMIFS(Transactions!$C:$C,Transactions!$A:$A,"&lt;="&amp;A41,Transactions!$B:$B,Settings!$B$1)+SUMIFS(Transactions!$F:$F,Transactions!$A:$A,"&lt;="&amp;A41,Transactions!$B:$B,Settings!$B$1))</f>
        <v/>
      </c>
      <c r="F41" s="14" t="str">
        <f aca="false">IF(A41="","",IF(C41="","",D41*B41*C41))</f>
        <v/>
      </c>
      <c r="G41" s="14" t="str">
        <f aca="false">IF(F41="","",F41-E41)</f>
        <v/>
      </c>
      <c r="H41" s="14" t="str">
        <f aca="false">IF(F41="","",IFERROR(F41-F40-(E41-E40),0))</f>
        <v/>
      </c>
    </row>
    <row r="42" customFormat="false" ht="15" hidden="false" customHeight="false" outlineLevel="0" collapsed="false">
      <c r="A42" s="13" t="str">
        <f aca="false">IF(Prices!A42="","",Prices!A42)</f>
        <v/>
      </c>
      <c r="B42" s="14" t="str">
        <f aca="false">IF(A42="","",Prices!C42)</f>
        <v/>
      </c>
      <c r="C42" s="15" t="str">
        <f aca="false">IF(A42="","",IFERROR(INDEX(FX!$B:$B,MATCH(A42,FX!$A:$A,1)),""))</f>
        <v/>
      </c>
      <c r="D42" s="14" t="str">
        <f aca="false">IF(A42="","",SUMIFS(Transactions!$D:$D,Transactions!$A:$A,"&lt;="&amp;A42,Transactions!$B:$B,Settings!$B$1))</f>
        <v/>
      </c>
      <c r="E42" s="14" t="str">
        <f aca="false">IF(A42="","",SUMIFS(Transactions!$C:$C,Transactions!$A:$A,"&lt;="&amp;A42,Transactions!$B:$B,Settings!$B$1)+SUMIFS(Transactions!$F:$F,Transactions!$A:$A,"&lt;="&amp;A42,Transactions!$B:$B,Settings!$B$1))</f>
        <v/>
      </c>
      <c r="F42" s="14" t="str">
        <f aca="false">IF(A42="","",IF(C42="","",D42*B42*C42))</f>
        <v/>
      </c>
      <c r="G42" s="14" t="str">
        <f aca="false">IF(F42="","",F42-E42)</f>
        <v/>
      </c>
      <c r="H42" s="14" t="str">
        <f aca="false">IF(F42="","",IFERROR(F42-F41-(E42-E41),0))</f>
        <v/>
      </c>
    </row>
    <row r="43" customFormat="false" ht="15" hidden="false" customHeight="false" outlineLevel="0" collapsed="false">
      <c r="A43" s="13" t="str">
        <f aca="false">IF(Prices!A43="","",Prices!A43)</f>
        <v/>
      </c>
      <c r="B43" s="14" t="str">
        <f aca="false">IF(A43="","",Prices!C43)</f>
        <v/>
      </c>
      <c r="C43" s="15" t="str">
        <f aca="false">IF(A43="","",IFERROR(INDEX(FX!$B:$B,MATCH(A43,FX!$A:$A,1)),""))</f>
        <v/>
      </c>
      <c r="D43" s="14" t="str">
        <f aca="false">IF(A43="","",SUMIFS(Transactions!$D:$D,Transactions!$A:$A,"&lt;="&amp;A43,Transactions!$B:$B,Settings!$B$1))</f>
        <v/>
      </c>
      <c r="E43" s="14" t="str">
        <f aca="false">IF(A43="","",SUMIFS(Transactions!$C:$C,Transactions!$A:$A,"&lt;="&amp;A43,Transactions!$B:$B,Settings!$B$1)+SUMIFS(Transactions!$F:$F,Transactions!$A:$A,"&lt;="&amp;A43,Transactions!$B:$B,Settings!$B$1))</f>
        <v/>
      </c>
      <c r="F43" s="14" t="str">
        <f aca="false">IF(A43="","",IF(C43="","",D43*B43*C43))</f>
        <v/>
      </c>
      <c r="G43" s="14" t="str">
        <f aca="false">IF(F43="","",F43-E43)</f>
        <v/>
      </c>
      <c r="H43" s="14" t="str">
        <f aca="false">IF(F43="","",IFERROR(F43-F42-(E43-E42),0))</f>
        <v/>
      </c>
    </row>
    <row r="44" customFormat="false" ht="15" hidden="false" customHeight="false" outlineLevel="0" collapsed="false">
      <c r="A44" s="13" t="str">
        <f aca="false">IF(Prices!A44="","",Prices!A44)</f>
        <v/>
      </c>
      <c r="B44" s="14" t="str">
        <f aca="false">IF(A44="","",Prices!C44)</f>
        <v/>
      </c>
      <c r="C44" s="15" t="str">
        <f aca="false">IF(A44="","",IFERROR(INDEX(FX!$B:$B,MATCH(A44,FX!$A:$A,1)),""))</f>
        <v/>
      </c>
      <c r="D44" s="14" t="str">
        <f aca="false">IF(A44="","",SUMIFS(Transactions!$D:$D,Transactions!$A:$A,"&lt;="&amp;A44,Transactions!$B:$B,Settings!$B$1))</f>
        <v/>
      </c>
      <c r="E44" s="14" t="str">
        <f aca="false">IF(A44="","",SUMIFS(Transactions!$C:$C,Transactions!$A:$A,"&lt;="&amp;A44,Transactions!$B:$B,Settings!$B$1)+SUMIFS(Transactions!$F:$F,Transactions!$A:$A,"&lt;="&amp;A44,Transactions!$B:$B,Settings!$B$1))</f>
        <v/>
      </c>
      <c r="F44" s="14" t="str">
        <f aca="false">IF(A44="","",IF(C44="","",D44*B44*C44))</f>
        <v/>
      </c>
      <c r="G44" s="14" t="str">
        <f aca="false">IF(F44="","",F44-E44)</f>
        <v/>
      </c>
      <c r="H44" s="14" t="str">
        <f aca="false">IF(F44="","",IFERROR(F44-F43-(E44-E43),0))</f>
        <v/>
      </c>
    </row>
    <row r="45" customFormat="false" ht="15" hidden="false" customHeight="false" outlineLevel="0" collapsed="false">
      <c r="A45" s="13" t="str">
        <f aca="false">IF(Prices!A45="","",Prices!A45)</f>
        <v/>
      </c>
      <c r="B45" s="14" t="str">
        <f aca="false">IF(A45="","",Prices!C45)</f>
        <v/>
      </c>
      <c r="C45" s="15" t="str">
        <f aca="false">IF(A45="","",IFERROR(INDEX(FX!$B:$B,MATCH(A45,FX!$A:$A,1)),""))</f>
        <v/>
      </c>
      <c r="D45" s="14" t="str">
        <f aca="false">IF(A45="","",SUMIFS(Transactions!$D:$D,Transactions!$A:$A,"&lt;="&amp;A45,Transactions!$B:$B,Settings!$B$1))</f>
        <v/>
      </c>
      <c r="E45" s="14" t="str">
        <f aca="false">IF(A45="","",SUMIFS(Transactions!$C:$C,Transactions!$A:$A,"&lt;="&amp;A45,Transactions!$B:$B,Settings!$B$1)+SUMIFS(Transactions!$F:$F,Transactions!$A:$A,"&lt;="&amp;A45,Transactions!$B:$B,Settings!$B$1))</f>
        <v/>
      </c>
      <c r="F45" s="14" t="str">
        <f aca="false">IF(A45="","",IF(C45="","",D45*B45*C45))</f>
        <v/>
      </c>
      <c r="G45" s="14" t="str">
        <f aca="false">IF(F45="","",F45-E45)</f>
        <v/>
      </c>
      <c r="H45" s="14" t="str">
        <f aca="false">IF(F45="","",IFERROR(F45-F44-(E45-E44),0))</f>
        <v/>
      </c>
    </row>
    <row r="46" customFormat="false" ht="15" hidden="false" customHeight="false" outlineLevel="0" collapsed="false">
      <c r="A46" s="13" t="str">
        <f aca="false">IF(Prices!A46="","",Prices!A46)</f>
        <v/>
      </c>
      <c r="B46" s="14" t="str">
        <f aca="false">IF(A46="","",Prices!C46)</f>
        <v/>
      </c>
      <c r="C46" s="15" t="str">
        <f aca="false">IF(A46="","",IFERROR(INDEX(FX!$B:$B,MATCH(A46,FX!$A:$A,1)),""))</f>
        <v/>
      </c>
      <c r="D46" s="14" t="str">
        <f aca="false">IF(A46="","",SUMIFS(Transactions!$D:$D,Transactions!$A:$A,"&lt;="&amp;A46,Transactions!$B:$B,Settings!$B$1))</f>
        <v/>
      </c>
      <c r="E46" s="14" t="str">
        <f aca="false">IF(A46="","",SUMIFS(Transactions!$C:$C,Transactions!$A:$A,"&lt;="&amp;A46,Transactions!$B:$B,Settings!$B$1)+SUMIFS(Transactions!$F:$F,Transactions!$A:$A,"&lt;="&amp;A46,Transactions!$B:$B,Settings!$B$1))</f>
        <v/>
      </c>
      <c r="F46" s="14" t="str">
        <f aca="false">IF(A46="","",IF(C46="","",D46*B46*C46))</f>
        <v/>
      </c>
      <c r="G46" s="14" t="str">
        <f aca="false">IF(F46="","",F46-E46)</f>
        <v/>
      </c>
      <c r="H46" s="14" t="str">
        <f aca="false">IF(F46="","",IFERROR(F46-F45-(E46-E45),0))</f>
        <v/>
      </c>
    </row>
    <row r="47" customFormat="false" ht="15" hidden="false" customHeight="false" outlineLevel="0" collapsed="false">
      <c r="A47" s="13" t="str">
        <f aca="false">IF(Prices!A47="","",Prices!A47)</f>
        <v/>
      </c>
      <c r="B47" s="14" t="str">
        <f aca="false">IF(A47="","",Prices!C47)</f>
        <v/>
      </c>
      <c r="C47" s="15" t="str">
        <f aca="false">IF(A47="","",IFERROR(INDEX(FX!$B:$B,MATCH(A47,FX!$A:$A,1)),""))</f>
        <v/>
      </c>
      <c r="D47" s="14" t="str">
        <f aca="false">IF(A47="","",SUMIFS(Transactions!$D:$D,Transactions!$A:$A,"&lt;="&amp;A47,Transactions!$B:$B,Settings!$B$1))</f>
        <v/>
      </c>
      <c r="E47" s="14" t="str">
        <f aca="false">IF(A47="","",SUMIFS(Transactions!$C:$C,Transactions!$A:$A,"&lt;="&amp;A47,Transactions!$B:$B,Settings!$B$1)+SUMIFS(Transactions!$F:$F,Transactions!$A:$A,"&lt;="&amp;A47,Transactions!$B:$B,Settings!$B$1))</f>
        <v/>
      </c>
      <c r="F47" s="14" t="str">
        <f aca="false">IF(A47="","",IF(C47="","",D47*B47*C47))</f>
        <v/>
      </c>
      <c r="G47" s="14" t="str">
        <f aca="false">IF(F47="","",F47-E47)</f>
        <v/>
      </c>
      <c r="H47" s="14" t="str">
        <f aca="false">IF(F47="","",IFERROR(F47-F46-(E47-E46),0))</f>
        <v/>
      </c>
    </row>
    <row r="48" customFormat="false" ht="15" hidden="false" customHeight="false" outlineLevel="0" collapsed="false">
      <c r="A48" s="13" t="str">
        <f aca="false">IF(Prices!A48="","",Prices!A48)</f>
        <v/>
      </c>
      <c r="B48" s="14" t="str">
        <f aca="false">IF(A48="","",Prices!C48)</f>
        <v/>
      </c>
      <c r="C48" s="15" t="str">
        <f aca="false">IF(A48="","",IFERROR(INDEX(FX!$B:$B,MATCH(A48,FX!$A:$A,1)),""))</f>
        <v/>
      </c>
      <c r="D48" s="14" t="str">
        <f aca="false">IF(A48="","",SUMIFS(Transactions!$D:$D,Transactions!$A:$A,"&lt;="&amp;A48,Transactions!$B:$B,Settings!$B$1))</f>
        <v/>
      </c>
      <c r="E48" s="14" t="str">
        <f aca="false">IF(A48="","",SUMIFS(Transactions!$C:$C,Transactions!$A:$A,"&lt;="&amp;A48,Transactions!$B:$B,Settings!$B$1)+SUMIFS(Transactions!$F:$F,Transactions!$A:$A,"&lt;="&amp;A48,Transactions!$B:$B,Settings!$B$1))</f>
        <v/>
      </c>
      <c r="F48" s="14" t="str">
        <f aca="false">IF(A48="","",IF(C48="","",D48*B48*C48))</f>
        <v/>
      </c>
      <c r="G48" s="14" t="str">
        <f aca="false">IF(F48="","",F48-E48)</f>
        <v/>
      </c>
      <c r="H48" s="14" t="str">
        <f aca="false">IF(F48="","",IFERROR(F48-F47-(E48-E47),0))</f>
        <v/>
      </c>
    </row>
    <row r="49" customFormat="false" ht="15" hidden="false" customHeight="false" outlineLevel="0" collapsed="false">
      <c r="A49" s="13" t="str">
        <f aca="false">IF(Prices!A49="","",Prices!A49)</f>
        <v/>
      </c>
      <c r="B49" s="14" t="str">
        <f aca="false">IF(A49="","",Prices!C49)</f>
        <v/>
      </c>
      <c r="C49" s="15" t="str">
        <f aca="false">IF(A49="","",IFERROR(INDEX(FX!$B:$B,MATCH(A49,FX!$A:$A,1)),""))</f>
        <v/>
      </c>
      <c r="D49" s="14" t="str">
        <f aca="false">IF(A49="","",SUMIFS(Transactions!$D:$D,Transactions!$A:$A,"&lt;="&amp;A49,Transactions!$B:$B,Settings!$B$1))</f>
        <v/>
      </c>
      <c r="E49" s="14" t="str">
        <f aca="false">IF(A49="","",SUMIFS(Transactions!$C:$C,Transactions!$A:$A,"&lt;="&amp;A49,Transactions!$B:$B,Settings!$B$1)+SUMIFS(Transactions!$F:$F,Transactions!$A:$A,"&lt;="&amp;A49,Transactions!$B:$B,Settings!$B$1))</f>
        <v/>
      </c>
      <c r="F49" s="14" t="str">
        <f aca="false">IF(A49="","",IF(C49="","",D49*B49*C49))</f>
        <v/>
      </c>
      <c r="G49" s="14" t="str">
        <f aca="false">IF(F49="","",F49-E49)</f>
        <v/>
      </c>
      <c r="H49" s="14" t="str">
        <f aca="false">IF(F49="","",IFERROR(F49-F48-(E49-E48),0))</f>
        <v/>
      </c>
    </row>
    <row r="50" customFormat="false" ht="15" hidden="false" customHeight="false" outlineLevel="0" collapsed="false">
      <c r="A50" s="13" t="str">
        <f aca="false">IF(Prices!A50="","",Prices!A50)</f>
        <v/>
      </c>
      <c r="B50" s="14" t="str">
        <f aca="false">IF(A50="","",Prices!C50)</f>
        <v/>
      </c>
      <c r="C50" s="15" t="str">
        <f aca="false">IF(A50="","",IFERROR(INDEX(FX!$B:$B,MATCH(A50,FX!$A:$A,1)),""))</f>
        <v/>
      </c>
      <c r="D50" s="14" t="str">
        <f aca="false">IF(A50="","",SUMIFS(Transactions!$D:$D,Transactions!$A:$A,"&lt;="&amp;A50,Transactions!$B:$B,Settings!$B$1))</f>
        <v/>
      </c>
      <c r="E50" s="14" t="str">
        <f aca="false">IF(A50="","",SUMIFS(Transactions!$C:$C,Transactions!$A:$A,"&lt;="&amp;A50,Transactions!$B:$B,Settings!$B$1)+SUMIFS(Transactions!$F:$F,Transactions!$A:$A,"&lt;="&amp;A50,Transactions!$B:$B,Settings!$B$1))</f>
        <v/>
      </c>
      <c r="F50" s="14" t="str">
        <f aca="false">IF(A50="","",IF(C50="","",D50*B50*C50))</f>
        <v/>
      </c>
      <c r="G50" s="14" t="str">
        <f aca="false">IF(F50="","",F50-E50)</f>
        <v/>
      </c>
      <c r="H50" s="14" t="str">
        <f aca="false">IF(F50="","",IFERROR(F50-F49-(E50-E49),0))</f>
        <v/>
      </c>
    </row>
    <row r="51" customFormat="false" ht="15" hidden="false" customHeight="false" outlineLevel="0" collapsed="false">
      <c r="A51" s="13" t="str">
        <f aca="false">IF(Prices!A51="","",Prices!A51)</f>
        <v/>
      </c>
      <c r="B51" s="14" t="str">
        <f aca="false">IF(A51="","",Prices!C51)</f>
        <v/>
      </c>
      <c r="C51" s="15" t="str">
        <f aca="false">IF(A51="","",IFERROR(INDEX(FX!$B:$B,MATCH(A51,FX!$A:$A,1)),""))</f>
        <v/>
      </c>
      <c r="D51" s="14" t="str">
        <f aca="false">IF(A51="","",SUMIFS(Transactions!$D:$D,Transactions!$A:$A,"&lt;="&amp;A51,Transactions!$B:$B,Settings!$B$1))</f>
        <v/>
      </c>
      <c r="E51" s="14" t="str">
        <f aca="false">IF(A51="","",SUMIFS(Transactions!$C:$C,Transactions!$A:$A,"&lt;="&amp;A51,Transactions!$B:$B,Settings!$B$1)+SUMIFS(Transactions!$F:$F,Transactions!$A:$A,"&lt;="&amp;A51,Transactions!$B:$B,Settings!$B$1))</f>
        <v/>
      </c>
      <c r="F51" s="14" t="str">
        <f aca="false">IF(A51="","",IF(C51="","",D51*B51*C51))</f>
        <v/>
      </c>
      <c r="G51" s="14" t="str">
        <f aca="false">IF(F51="","",F51-E51)</f>
        <v/>
      </c>
      <c r="H51" s="14" t="str">
        <f aca="false">IF(F51="","",IFERROR(F51-F50-(E51-E50),0))</f>
        <v/>
      </c>
    </row>
    <row r="52" customFormat="false" ht="15" hidden="false" customHeight="false" outlineLevel="0" collapsed="false">
      <c r="A52" s="13" t="str">
        <f aca="false">IF(Prices!A52="","",Prices!A52)</f>
        <v/>
      </c>
      <c r="B52" s="14" t="str">
        <f aca="false">IF(A52="","",Prices!C52)</f>
        <v/>
      </c>
      <c r="C52" s="15" t="str">
        <f aca="false">IF(A52="","",IFERROR(INDEX(FX!$B:$B,MATCH(A52,FX!$A:$A,1)),""))</f>
        <v/>
      </c>
      <c r="D52" s="14" t="str">
        <f aca="false">IF(A52="","",SUMIFS(Transactions!$D:$D,Transactions!$A:$A,"&lt;="&amp;A52,Transactions!$B:$B,Settings!$B$1))</f>
        <v/>
      </c>
      <c r="E52" s="14" t="str">
        <f aca="false">IF(A52="","",SUMIFS(Transactions!$C:$C,Transactions!$A:$A,"&lt;="&amp;A52,Transactions!$B:$B,Settings!$B$1)+SUMIFS(Transactions!$F:$F,Transactions!$A:$A,"&lt;="&amp;A52,Transactions!$B:$B,Settings!$B$1))</f>
        <v/>
      </c>
      <c r="F52" s="14" t="str">
        <f aca="false">IF(A52="","",IF(C52="","",D52*B52*C52))</f>
        <v/>
      </c>
      <c r="G52" s="14" t="str">
        <f aca="false">IF(F52="","",F52-E52)</f>
        <v/>
      </c>
      <c r="H52" s="14" t="str">
        <f aca="false">IF(F52="","",IFERROR(F52-F51-(E52-E51),0))</f>
        <v/>
      </c>
    </row>
    <row r="53" customFormat="false" ht="15" hidden="false" customHeight="false" outlineLevel="0" collapsed="false">
      <c r="A53" s="13" t="str">
        <f aca="false">IF(Prices!A53="","",Prices!A53)</f>
        <v/>
      </c>
      <c r="B53" s="14" t="str">
        <f aca="false">IF(A53="","",Prices!C53)</f>
        <v/>
      </c>
      <c r="C53" s="15" t="str">
        <f aca="false">IF(A53="","",IFERROR(INDEX(FX!$B:$B,MATCH(A53,FX!$A:$A,1)),""))</f>
        <v/>
      </c>
      <c r="D53" s="14" t="str">
        <f aca="false">IF(A53="","",SUMIFS(Transactions!$D:$D,Transactions!$A:$A,"&lt;="&amp;A53,Transactions!$B:$B,Settings!$B$1))</f>
        <v/>
      </c>
      <c r="E53" s="14" t="str">
        <f aca="false">IF(A53="","",SUMIFS(Transactions!$C:$C,Transactions!$A:$A,"&lt;="&amp;A53,Transactions!$B:$B,Settings!$B$1)+SUMIFS(Transactions!$F:$F,Transactions!$A:$A,"&lt;="&amp;A53,Transactions!$B:$B,Settings!$B$1))</f>
        <v/>
      </c>
      <c r="F53" s="14" t="str">
        <f aca="false">IF(A53="","",IF(C53="","",D53*B53*C53))</f>
        <v/>
      </c>
      <c r="G53" s="14" t="str">
        <f aca="false">IF(F53="","",F53-E53)</f>
        <v/>
      </c>
      <c r="H53" s="14" t="str">
        <f aca="false">IF(F53="","",IFERROR(F53-F52-(E53-E52),0))</f>
        <v/>
      </c>
    </row>
    <row r="54" customFormat="false" ht="15" hidden="false" customHeight="false" outlineLevel="0" collapsed="false">
      <c r="A54" s="13" t="str">
        <f aca="false">IF(Prices!A54="","",Prices!A54)</f>
        <v/>
      </c>
      <c r="B54" s="14" t="str">
        <f aca="false">IF(A54="","",Prices!C54)</f>
        <v/>
      </c>
      <c r="C54" s="15" t="str">
        <f aca="false">IF(A54="","",IFERROR(INDEX(FX!$B:$B,MATCH(A54,FX!$A:$A,1)),""))</f>
        <v/>
      </c>
      <c r="D54" s="14" t="str">
        <f aca="false">IF(A54="","",SUMIFS(Transactions!$D:$D,Transactions!$A:$A,"&lt;="&amp;A54,Transactions!$B:$B,Settings!$B$1))</f>
        <v/>
      </c>
      <c r="E54" s="14" t="str">
        <f aca="false">IF(A54="","",SUMIFS(Transactions!$C:$C,Transactions!$A:$A,"&lt;="&amp;A54,Transactions!$B:$B,Settings!$B$1)+SUMIFS(Transactions!$F:$F,Transactions!$A:$A,"&lt;="&amp;A54,Transactions!$B:$B,Settings!$B$1))</f>
        <v/>
      </c>
      <c r="F54" s="14" t="str">
        <f aca="false">IF(A54="","",IF(C54="","",D54*B54*C54))</f>
        <v/>
      </c>
      <c r="G54" s="14" t="str">
        <f aca="false">IF(F54="","",F54-E54)</f>
        <v/>
      </c>
      <c r="H54" s="14" t="str">
        <f aca="false">IF(F54="","",IFERROR(F54-F53-(E54-E53),0))</f>
        <v/>
      </c>
    </row>
    <row r="55" customFormat="false" ht="15" hidden="false" customHeight="false" outlineLevel="0" collapsed="false">
      <c r="A55" s="13" t="str">
        <f aca="false">IF(Prices!A55="","",Prices!A55)</f>
        <v/>
      </c>
      <c r="B55" s="14" t="str">
        <f aca="false">IF(A55="","",Prices!C55)</f>
        <v/>
      </c>
      <c r="C55" s="15" t="str">
        <f aca="false">IF(A55="","",IFERROR(INDEX(FX!$B:$B,MATCH(A55,FX!$A:$A,1)),""))</f>
        <v/>
      </c>
      <c r="D55" s="14" t="str">
        <f aca="false">IF(A55="","",SUMIFS(Transactions!$D:$D,Transactions!$A:$A,"&lt;="&amp;A55,Transactions!$B:$B,Settings!$B$1))</f>
        <v/>
      </c>
      <c r="E55" s="14" t="str">
        <f aca="false">IF(A55="","",SUMIFS(Transactions!$C:$C,Transactions!$A:$A,"&lt;="&amp;A55,Transactions!$B:$B,Settings!$B$1)+SUMIFS(Transactions!$F:$F,Transactions!$A:$A,"&lt;="&amp;A55,Transactions!$B:$B,Settings!$B$1))</f>
        <v/>
      </c>
      <c r="F55" s="14" t="str">
        <f aca="false">IF(A55="","",IF(C55="","",D55*B55*C55))</f>
        <v/>
      </c>
      <c r="G55" s="14" t="str">
        <f aca="false">IF(F55="","",F55-E55)</f>
        <v/>
      </c>
      <c r="H55" s="14" t="str">
        <f aca="false">IF(F55="","",IFERROR(F55-F54-(E55-E54),0))</f>
        <v/>
      </c>
    </row>
    <row r="56" customFormat="false" ht="15" hidden="false" customHeight="false" outlineLevel="0" collapsed="false">
      <c r="A56" s="13" t="str">
        <f aca="false">IF(Prices!A56="","",Prices!A56)</f>
        <v/>
      </c>
      <c r="B56" s="14" t="str">
        <f aca="false">IF(A56="","",Prices!C56)</f>
        <v/>
      </c>
      <c r="C56" s="15" t="str">
        <f aca="false">IF(A56="","",IFERROR(INDEX(FX!$B:$B,MATCH(A56,FX!$A:$A,1)),""))</f>
        <v/>
      </c>
      <c r="D56" s="14" t="str">
        <f aca="false">IF(A56="","",SUMIFS(Transactions!$D:$D,Transactions!$A:$A,"&lt;="&amp;A56,Transactions!$B:$B,Settings!$B$1))</f>
        <v/>
      </c>
      <c r="E56" s="14" t="str">
        <f aca="false">IF(A56="","",SUMIFS(Transactions!$C:$C,Transactions!$A:$A,"&lt;="&amp;A56,Transactions!$B:$B,Settings!$B$1)+SUMIFS(Transactions!$F:$F,Transactions!$A:$A,"&lt;="&amp;A56,Transactions!$B:$B,Settings!$B$1))</f>
        <v/>
      </c>
      <c r="F56" s="14" t="str">
        <f aca="false">IF(A56="","",IF(C56="","",D56*B56*C56))</f>
        <v/>
      </c>
      <c r="G56" s="14" t="str">
        <f aca="false">IF(F56="","",F56-E56)</f>
        <v/>
      </c>
      <c r="H56" s="14" t="str">
        <f aca="false">IF(F56="","",IFERROR(F56-F55-(E56-E55),0))</f>
        <v/>
      </c>
    </row>
    <row r="57" customFormat="false" ht="15" hidden="false" customHeight="false" outlineLevel="0" collapsed="false">
      <c r="A57" s="13" t="str">
        <f aca="false">IF(Prices!A57="","",Prices!A57)</f>
        <v/>
      </c>
      <c r="B57" s="14" t="str">
        <f aca="false">IF(A57="","",Prices!C57)</f>
        <v/>
      </c>
      <c r="C57" s="15" t="str">
        <f aca="false">IF(A57="","",IFERROR(INDEX(FX!$B:$B,MATCH(A57,FX!$A:$A,1)),""))</f>
        <v/>
      </c>
      <c r="D57" s="14" t="str">
        <f aca="false">IF(A57="","",SUMIFS(Transactions!$D:$D,Transactions!$A:$A,"&lt;="&amp;A57,Transactions!$B:$B,Settings!$B$1))</f>
        <v/>
      </c>
      <c r="E57" s="14" t="str">
        <f aca="false">IF(A57="","",SUMIFS(Transactions!$C:$C,Transactions!$A:$A,"&lt;="&amp;A57,Transactions!$B:$B,Settings!$B$1)+SUMIFS(Transactions!$F:$F,Transactions!$A:$A,"&lt;="&amp;A57,Transactions!$B:$B,Settings!$B$1))</f>
        <v/>
      </c>
      <c r="F57" s="14" t="str">
        <f aca="false">IF(A57="","",IF(C57="","",D57*B57*C57))</f>
        <v/>
      </c>
      <c r="G57" s="14" t="str">
        <f aca="false">IF(F57="","",F57-E57)</f>
        <v/>
      </c>
      <c r="H57" s="14" t="str">
        <f aca="false">IF(F57="","",IFERROR(F57-F56-(E57-E56),0))</f>
        <v/>
      </c>
    </row>
    <row r="58" customFormat="false" ht="15" hidden="false" customHeight="false" outlineLevel="0" collapsed="false">
      <c r="A58" s="13" t="str">
        <f aca="false">IF(Prices!A58="","",Prices!A58)</f>
        <v/>
      </c>
      <c r="B58" s="14" t="str">
        <f aca="false">IF(A58="","",Prices!C58)</f>
        <v/>
      </c>
      <c r="C58" s="15" t="str">
        <f aca="false">IF(A58="","",IFERROR(INDEX(FX!$B:$B,MATCH(A58,FX!$A:$A,1)),""))</f>
        <v/>
      </c>
      <c r="D58" s="14" t="str">
        <f aca="false">IF(A58="","",SUMIFS(Transactions!$D:$D,Transactions!$A:$A,"&lt;="&amp;A58,Transactions!$B:$B,Settings!$B$1))</f>
        <v/>
      </c>
      <c r="E58" s="14" t="str">
        <f aca="false">IF(A58="","",SUMIFS(Transactions!$C:$C,Transactions!$A:$A,"&lt;="&amp;A58,Transactions!$B:$B,Settings!$B$1)+SUMIFS(Transactions!$F:$F,Transactions!$A:$A,"&lt;="&amp;A58,Transactions!$B:$B,Settings!$B$1))</f>
        <v/>
      </c>
      <c r="F58" s="14" t="str">
        <f aca="false">IF(A58="","",IF(C58="","",D58*B58*C58))</f>
        <v/>
      </c>
      <c r="G58" s="14" t="str">
        <f aca="false">IF(F58="","",F58-E58)</f>
        <v/>
      </c>
      <c r="H58" s="14" t="str">
        <f aca="false">IF(F58="","",IFERROR(F58-F57-(E58-E57),0))</f>
        <v/>
      </c>
    </row>
    <row r="59" customFormat="false" ht="15" hidden="false" customHeight="false" outlineLevel="0" collapsed="false">
      <c r="A59" s="13" t="str">
        <f aca="false">IF(Prices!A59="","",Prices!A59)</f>
        <v/>
      </c>
      <c r="B59" s="14" t="str">
        <f aca="false">IF(A59="","",Prices!C59)</f>
        <v/>
      </c>
      <c r="C59" s="15" t="str">
        <f aca="false">IF(A59="","",IFERROR(INDEX(FX!$B:$B,MATCH(A59,FX!$A:$A,1)),""))</f>
        <v/>
      </c>
      <c r="D59" s="14" t="str">
        <f aca="false">IF(A59="","",SUMIFS(Transactions!$D:$D,Transactions!$A:$A,"&lt;="&amp;A59,Transactions!$B:$B,Settings!$B$1))</f>
        <v/>
      </c>
      <c r="E59" s="14" t="str">
        <f aca="false">IF(A59="","",SUMIFS(Transactions!$C:$C,Transactions!$A:$A,"&lt;="&amp;A59,Transactions!$B:$B,Settings!$B$1)+SUMIFS(Transactions!$F:$F,Transactions!$A:$A,"&lt;="&amp;A59,Transactions!$B:$B,Settings!$B$1))</f>
        <v/>
      </c>
      <c r="F59" s="14" t="str">
        <f aca="false">IF(A59="","",IF(C59="","",D59*B59*C59))</f>
        <v/>
      </c>
      <c r="G59" s="14" t="str">
        <f aca="false">IF(F59="","",F59-E59)</f>
        <v/>
      </c>
      <c r="H59" s="14" t="str">
        <f aca="false">IF(F59="","",IFERROR(F59-F58-(E59-E58),0))</f>
        <v/>
      </c>
    </row>
    <row r="60" customFormat="false" ht="15" hidden="false" customHeight="false" outlineLevel="0" collapsed="false">
      <c r="A60" s="13" t="str">
        <f aca="false">IF(Prices!A60="","",Prices!A60)</f>
        <v/>
      </c>
      <c r="B60" s="14" t="str">
        <f aca="false">IF(A60="","",Prices!C60)</f>
        <v/>
      </c>
      <c r="C60" s="15" t="str">
        <f aca="false">IF(A60="","",IFERROR(INDEX(FX!$B:$B,MATCH(A60,FX!$A:$A,1)),""))</f>
        <v/>
      </c>
      <c r="D60" s="14" t="str">
        <f aca="false">IF(A60="","",SUMIFS(Transactions!$D:$D,Transactions!$A:$A,"&lt;="&amp;A60,Transactions!$B:$B,Settings!$B$1))</f>
        <v/>
      </c>
      <c r="E60" s="14" t="str">
        <f aca="false">IF(A60="","",SUMIFS(Transactions!$C:$C,Transactions!$A:$A,"&lt;="&amp;A60,Transactions!$B:$B,Settings!$B$1)+SUMIFS(Transactions!$F:$F,Transactions!$A:$A,"&lt;="&amp;A60,Transactions!$B:$B,Settings!$B$1))</f>
        <v/>
      </c>
      <c r="F60" s="14" t="str">
        <f aca="false">IF(A60="","",IF(C60="","",D60*B60*C60))</f>
        <v/>
      </c>
      <c r="G60" s="14" t="str">
        <f aca="false">IF(F60="","",F60-E60)</f>
        <v/>
      </c>
      <c r="H60" s="14" t="str">
        <f aca="false">IF(F60="","",IFERROR(F60-F59-(E60-E59),0))</f>
        <v/>
      </c>
    </row>
    <row r="61" customFormat="false" ht="15" hidden="false" customHeight="false" outlineLevel="0" collapsed="false">
      <c r="A61" s="13" t="str">
        <f aca="false">IF(Prices!A61="","",Prices!A61)</f>
        <v/>
      </c>
      <c r="B61" s="14" t="str">
        <f aca="false">IF(A61="","",Prices!C61)</f>
        <v/>
      </c>
      <c r="C61" s="15" t="str">
        <f aca="false">IF(A61="","",IFERROR(INDEX(FX!$B:$B,MATCH(A61,FX!$A:$A,1)),""))</f>
        <v/>
      </c>
      <c r="D61" s="14" t="str">
        <f aca="false">IF(A61="","",SUMIFS(Transactions!$D:$D,Transactions!$A:$A,"&lt;="&amp;A61,Transactions!$B:$B,Settings!$B$1))</f>
        <v/>
      </c>
      <c r="E61" s="14" t="str">
        <f aca="false">IF(A61="","",SUMIFS(Transactions!$C:$C,Transactions!$A:$A,"&lt;="&amp;A61,Transactions!$B:$B,Settings!$B$1)+SUMIFS(Transactions!$F:$F,Transactions!$A:$A,"&lt;="&amp;A61,Transactions!$B:$B,Settings!$B$1))</f>
        <v/>
      </c>
      <c r="F61" s="14" t="str">
        <f aca="false">IF(A61="","",IF(C61="","",D61*B61*C61))</f>
        <v/>
      </c>
      <c r="G61" s="14" t="str">
        <f aca="false">IF(F61="","",F61-E61)</f>
        <v/>
      </c>
      <c r="H61" s="14" t="str">
        <f aca="false">IF(F61="","",IFERROR(F61-F60-(E61-E60),0))</f>
        <v/>
      </c>
    </row>
    <row r="62" customFormat="false" ht="15" hidden="false" customHeight="false" outlineLevel="0" collapsed="false">
      <c r="A62" s="13" t="str">
        <f aca="false">IF(Prices!A62="","",Prices!A62)</f>
        <v/>
      </c>
      <c r="B62" s="14" t="str">
        <f aca="false">IF(A62="","",Prices!C62)</f>
        <v/>
      </c>
      <c r="C62" s="15" t="str">
        <f aca="false">IF(A62="","",IFERROR(INDEX(FX!$B:$B,MATCH(A62,FX!$A:$A,1)),""))</f>
        <v/>
      </c>
      <c r="D62" s="14" t="str">
        <f aca="false">IF(A62="","",SUMIFS(Transactions!$D:$D,Transactions!$A:$A,"&lt;="&amp;A62,Transactions!$B:$B,Settings!$B$1))</f>
        <v/>
      </c>
      <c r="E62" s="14" t="str">
        <f aca="false">IF(A62="","",SUMIFS(Transactions!$C:$C,Transactions!$A:$A,"&lt;="&amp;A62,Transactions!$B:$B,Settings!$B$1)+SUMIFS(Transactions!$F:$F,Transactions!$A:$A,"&lt;="&amp;A62,Transactions!$B:$B,Settings!$B$1))</f>
        <v/>
      </c>
      <c r="F62" s="14" t="str">
        <f aca="false">IF(A62="","",IF(C62="","",D62*B62*C62))</f>
        <v/>
      </c>
      <c r="G62" s="14" t="str">
        <f aca="false">IF(F62="","",F62-E62)</f>
        <v/>
      </c>
      <c r="H62" s="14" t="str">
        <f aca="false">IF(F62="","",IFERROR(F62-F61-(E62-E61),0))</f>
        <v/>
      </c>
    </row>
    <row r="63" customFormat="false" ht="15" hidden="false" customHeight="false" outlineLevel="0" collapsed="false">
      <c r="A63" s="13" t="str">
        <f aca="false">IF(Prices!A63="","",Prices!A63)</f>
        <v/>
      </c>
      <c r="B63" s="14" t="str">
        <f aca="false">IF(A63="","",Prices!C63)</f>
        <v/>
      </c>
      <c r="C63" s="15" t="str">
        <f aca="false">IF(A63="","",IFERROR(INDEX(FX!$B:$B,MATCH(A63,FX!$A:$A,1)),""))</f>
        <v/>
      </c>
      <c r="D63" s="14" t="str">
        <f aca="false">IF(A63="","",SUMIFS(Transactions!$D:$D,Transactions!$A:$A,"&lt;="&amp;A63,Transactions!$B:$B,Settings!$B$1))</f>
        <v/>
      </c>
      <c r="E63" s="14" t="str">
        <f aca="false">IF(A63="","",SUMIFS(Transactions!$C:$C,Transactions!$A:$A,"&lt;="&amp;A63,Transactions!$B:$B,Settings!$B$1)+SUMIFS(Transactions!$F:$F,Transactions!$A:$A,"&lt;="&amp;A63,Transactions!$B:$B,Settings!$B$1))</f>
        <v/>
      </c>
      <c r="F63" s="14" t="str">
        <f aca="false">IF(A63="","",IF(C63="","",D63*B63*C63))</f>
        <v/>
      </c>
      <c r="G63" s="14" t="str">
        <f aca="false">IF(F63="","",F63-E63)</f>
        <v/>
      </c>
      <c r="H63" s="14" t="str">
        <f aca="false">IF(F63="","",IFERROR(F63-F62-(E63-E62),0))</f>
        <v/>
      </c>
    </row>
    <row r="64" customFormat="false" ht="15" hidden="false" customHeight="false" outlineLevel="0" collapsed="false">
      <c r="A64" s="13" t="str">
        <f aca="false">IF(Prices!A64="","",Prices!A64)</f>
        <v/>
      </c>
      <c r="B64" s="14" t="str">
        <f aca="false">IF(A64="","",Prices!C64)</f>
        <v/>
      </c>
      <c r="C64" s="15" t="str">
        <f aca="false">IF(A64="","",IFERROR(INDEX(FX!$B:$B,MATCH(A64,FX!$A:$A,1)),""))</f>
        <v/>
      </c>
      <c r="D64" s="14" t="str">
        <f aca="false">IF(A64="","",SUMIFS(Transactions!$D:$D,Transactions!$A:$A,"&lt;="&amp;A64,Transactions!$B:$B,Settings!$B$1))</f>
        <v/>
      </c>
      <c r="E64" s="14" t="str">
        <f aca="false">IF(A64="","",SUMIFS(Transactions!$C:$C,Transactions!$A:$A,"&lt;="&amp;A64,Transactions!$B:$B,Settings!$B$1)+SUMIFS(Transactions!$F:$F,Transactions!$A:$A,"&lt;="&amp;A64,Transactions!$B:$B,Settings!$B$1))</f>
        <v/>
      </c>
      <c r="F64" s="14" t="str">
        <f aca="false">IF(A64="","",IF(C64="","",D64*B64*C64))</f>
        <v/>
      </c>
      <c r="G64" s="14" t="str">
        <f aca="false">IF(F64="","",F64-E64)</f>
        <v/>
      </c>
      <c r="H64" s="14" t="str">
        <f aca="false">IF(F64="","",IFERROR(F64-F63-(E64-E63),0))</f>
        <v/>
      </c>
    </row>
    <row r="65" customFormat="false" ht="15" hidden="false" customHeight="false" outlineLevel="0" collapsed="false">
      <c r="A65" s="13" t="str">
        <f aca="false">IF(Prices!A65="","",Prices!A65)</f>
        <v/>
      </c>
      <c r="B65" s="14" t="str">
        <f aca="false">IF(A65="","",Prices!C65)</f>
        <v/>
      </c>
      <c r="C65" s="15" t="str">
        <f aca="false">IF(A65="","",IFERROR(INDEX(FX!$B:$B,MATCH(A65,FX!$A:$A,1)),""))</f>
        <v/>
      </c>
      <c r="D65" s="14" t="str">
        <f aca="false">IF(A65="","",SUMIFS(Transactions!$D:$D,Transactions!$A:$A,"&lt;="&amp;A65,Transactions!$B:$B,Settings!$B$1))</f>
        <v/>
      </c>
      <c r="E65" s="14" t="str">
        <f aca="false">IF(A65="","",SUMIFS(Transactions!$C:$C,Transactions!$A:$A,"&lt;="&amp;A65,Transactions!$B:$B,Settings!$B$1)+SUMIFS(Transactions!$F:$F,Transactions!$A:$A,"&lt;="&amp;A65,Transactions!$B:$B,Settings!$B$1))</f>
        <v/>
      </c>
      <c r="F65" s="14" t="str">
        <f aca="false">IF(A65="","",IF(C65="","",D65*B65*C65))</f>
        <v/>
      </c>
      <c r="G65" s="14" t="str">
        <f aca="false">IF(F65="","",F65-E65)</f>
        <v/>
      </c>
      <c r="H65" s="14" t="str">
        <f aca="false">IF(F65="","",IFERROR(F65-F64-(E65-E64),0))</f>
        <v/>
      </c>
    </row>
    <row r="66" customFormat="false" ht="15" hidden="false" customHeight="false" outlineLevel="0" collapsed="false">
      <c r="A66" s="13" t="str">
        <f aca="false">IF(Prices!A66="","",Prices!A66)</f>
        <v/>
      </c>
      <c r="B66" s="14" t="str">
        <f aca="false">IF(A66="","",Prices!C66)</f>
        <v/>
      </c>
      <c r="C66" s="15" t="str">
        <f aca="false">IF(A66="","",IFERROR(INDEX(FX!$B:$B,MATCH(A66,FX!$A:$A,1)),""))</f>
        <v/>
      </c>
      <c r="D66" s="14" t="str">
        <f aca="false">IF(A66="","",SUMIFS(Transactions!$D:$D,Transactions!$A:$A,"&lt;="&amp;A66,Transactions!$B:$B,Settings!$B$1))</f>
        <v/>
      </c>
      <c r="E66" s="14" t="str">
        <f aca="false">IF(A66="","",SUMIFS(Transactions!$C:$C,Transactions!$A:$A,"&lt;="&amp;A66,Transactions!$B:$B,Settings!$B$1)+SUMIFS(Transactions!$F:$F,Transactions!$A:$A,"&lt;="&amp;A66,Transactions!$B:$B,Settings!$B$1))</f>
        <v/>
      </c>
      <c r="F66" s="14" t="str">
        <f aca="false">IF(A66="","",IF(C66="","",D66*B66*C66))</f>
        <v/>
      </c>
      <c r="G66" s="14" t="str">
        <f aca="false">IF(F66="","",F66-E66)</f>
        <v/>
      </c>
      <c r="H66" s="14" t="str">
        <f aca="false">IF(F66="","",IFERROR(F66-F65-(E66-E65),0))</f>
        <v/>
      </c>
    </row>
    <row r="67" customFormat="false" ht="15" hidden="false" customHeight="false" outlineLevel="0" collapsed="false">
      <c r="A67" s="13" t="str">
        <f aca="false">IF(Prices!A67="","",Prices!A67)</f>
        <v/>
      </c>
      <c r="B67" s="14" t="str">
        <f aca="false">IF(A67="","",Prices!C67)</f>
        <v/>
      </c>
      <c r="C67" s="15" t="str">
        <f aca="false">IF(A67="","",IFERROR(INDEX(FX!$B:$B,MATCH(A67,FX!$A:$A,1)),""))</f>
        <v/>
      </c>
      <c r="D67" s="14" t="str">
        <f aca="false">IF(A67="","",SUMIFS(Transactions!$D:$D,Transactions!$A:$A,"&lt;="&amp;A67,Transactions!$B:$B,Settings!$B$1))</f>
        <v/>
      </c>
      <c r="E67" s="14" t="str">
        <f aca="false">IF(A67="","",SUMIFS(Transactions!$C:$C,Transactions!$A:$A,"&lt;="&amp;A67,Transactions!$B:$B,Settings!$B$1)+SUMIFS(Transactions!$F:$F,Transactions!$A:$A,"&lt;="&amp;A67,Transactions!$B:$B,Settings!$B$1))</f>
        <v/>
      </c>
      <c r="F67" s="14" t="str">
        <f aca="false">IF(A67="","",IF(C67="","",D67*B67*C67))</f>
        <v/>
      </c>
      <c r="G67" s="14" t="str">
        <f aca="false">IF(F67="","",F67-E67)</f>
        <v/>
      </c>
      <c r="H67" s="14" t="str">
        <f aca="false">IF(F67="","",IFERROR(F67-F66-(E67-E66),0))</f>
        <v/>
      </c>
    </row>
    <row r="68" customFormat="false" ht="15" hidden="false" customHeight="false" outlineLevel="0" collapsed="false">
      <c r="A68" s="13" t="str">
        <f aca="false">IF(Prices!A68="","",Prices!A68)</f>
        <v/>
      </c>
      <c r="B68" s="14" t="str">
        <f aca="false">IF(A68="","",Prices!C68)</f>
        <v/>
      </c>
      <c r="C68" s="15" t="str">
        <f aca="false">IF(A68="","",IFERROR(INDEX(FX!$B:$B,MATCH(A68,FX!$A:$A,1)),""))</f>
        <v/>
      </c>
      <c r="D68" s="14" t="str">
        <f aca="false">IF(A68="","",SUMIFS(Transactions!$D:$D,Transactions!$A:$A,"&lt;="&amp;A68,Transactions!$B:$B,Settings!$B$1))</f>
        <v/>
      </c>
      <c r="E68" s="14" t="str">
        <f aca="false">IF(A68="","",SUMIFS(Transactions!$C:$C,Transactions!$A:$A,"&lt;="&amp;A68,Transactions!$B:$B,Settings!$B$1)+SUMIFS(Transactions!$F:$F,Transactions!$A:$A,"&lt;="&amp;A68,Transactions!$B:$B,Settings!$B$1))</f>
        <v/>
      </c>
      <c r="F68" s="14" t="str">
        <f aca="false">IF(A68="","",IF(C68="","",D68*B68*C68))</f>
        <v/>
      </c>
      <c r="G68" s="14" t="str">
        <f aca="false">IF(F68="","",F68-E68)</f>
        <v/>
      </c>
      <c r="H68" s="14" t="str">
        <f aca="false">IF(F68="","",IFERROR(F68-F67-(E68-E67),0))</f>
        <v/>
      </c>
    </row>
    <row r="69" customFormat="false" ht="15" hidden="false" customHeight="false" outlineLevel="0" collapsed="false">
      <c r="A69" s="13" t="str">
        <f aca="false">IF(Prices!A69="","",Prices!A69)</f>
        <v/>
      </c>
      <c r="B69" s="14" t="str">
        <f aca="false">IF(A69="","",Prices!C69)</f>
        <v/>
      </c>
      <c r="C69" s="15" t="str">
        <f aca="false">IF(A69="","",IFERROR(INDEX(FX!$B:$B,MATCH(A69,FX!$A:$A,1)),""))</f>
        <v/>
      </c>
      <c r="D69" s="14" t="str">
        <f aca="false">IF(A69="","",SUMIFS(Transactions!$D:$D,Transactions!$A:$A,"&lt;="&amp;A69,Transactions!$B:$B,Settings!$B$1))</f>
        <v/>
      </c>
      <c r="E69" s="14" t="str">
        <f aca="false">IF(A69="","",SUMIFS(Transactions!$C:$C,Transactions!$A:$A,"&lt;="&amp;A69,Transactions!$B:$B,Settings!$B$1)+SUMIFS(Transactions!$F:$F,Transactions!$A:$A,"&lt;="&amp;A69,Transactions!$B:$B,Settings!$B$1))</f>
        <v/>
      </c>
      <c r="F69" s="14" t="str">
        <f aca="false">IF(A69="","",IF(C69="","",D69*B69*C69))</f>
        <v/>
      </c>
      <c r="G69" s="14" t="str">
        <f aca="false">IF(F69="","",F69-E69)</f>
        <v/>
      </c>
      <c r="H69" s="14" t="str">
        <f aca="false">IF(F69="","",IFERROR(F69-F68-(E69-E68),0))</f>
        <v/>
      </c>
    </row>
    <row r="70" customFormat="false" ht="15" hidden="false" customHeight="false" outlineLevel="0" collapsed="false">
      <c r="A70" s="13" t="str">
        <f aca="false">IF(Prices!A70="","",Prices!A70)</f>
        <v/>
      </c>
      <c r="B70" s="14" t="str">
        <f aca="false">IF(A70="","",Prices!C70)</f>
        <v/>
      </c>
      <c r="C70" s="15" t="str">
        <f aca="false">IF(A70="","",IFERROR(INDEX(FX!$B:$B,MATCH(A70,FX!$A:$A,1)),""))</f>
        <v/>
      </c>
      <c r="D70" s="14" t="str">
        <f aca="false">IF(A70="","",SUMIFS(Transactions!$D:$D,Transactions!$A:$A,"&lt;="&amp;A70,Transactions!$B:$B,Settings!$B$1))</f>
        <v/>
      </c>
      <c r="E70" s="14" t="str">
        <f aca="false">IF(A70="","",SUMIFS(Transactions!$C:$C,Transactions!$A:$A,"&lt;="&amp;A70,Transactions!$B:$B,Settings!$B$1)+SUMIFS(Transactions!$F:$F,Transactions!$A:$A,"&lt;="&amp;A70,Transactions!$B:$B,Settings!$B$1))</f>
        <v/>
      </c>
      <c r="F70" s="14" t="str">
        <f aca="false">IF(A70="","",IF(C70="","",D70*B70*C70))</f>
        <v/>
      </c>
      <c r="G70" s="14" t="str">
        <f aca="false">IF(F70="","",F70-E70)</f>
        <v/>
      </c>
      <c r="H70" s="14" t="str">
        <f aca="false">IF(F70="","",IFERROR(F70-F69-(E70-E69),0))</f>
        <v/>
      </c>
    </row>
    <row r="71" customFormat="false" ht="15" hidden="false" customHeight="false" outlineLevel="0" collapsed="false">
      <c r="A71" s="13" t="str">
        <f aca="false">IF(Prices!A71="","",Prices!A71)</f>
        <v/>
      </c>
      <c r="B71" s="14" t="str">
        <f aca="false">IF(A71="","",Prices!C71)</f>
        <v/>
      </c>
      <c r="C71" s="15" t="str">
        <f aca="false">IF(A71="","",IFERROR(INDEX(FX!$B:$B,MATCH(A71,FX!$A:$A,1)),""))</f>
        <v/>
      </c>
      <c r="D71" s="14" t="str">
        <f aca="false">IF(A71="","",SUMIFS(Transactions!$D:$D,Transactions!$A:$A,"&lt;="&amp;A71,Transactions!$B:$B,Settings!$B$1))</f>
        <v/>
      </c>
      <c r="E71" s="14" t="str">
        <f aca="false">IF(A71="","",SUMIFS(Transactions!$C:$C,Transactions!$A:$A,"&lt;="&amp;A71,Transactions!$B:$B,Settings!$B$1)+SUMIFS(Transactions!$F:$F,Transactions!$A:$A,"&lt;="&amp;A71,Transactions!$B:$B,Settings!$B$1))</f>
        <v/>
      </c>
      <c r="F71" s="14" t="str">
        <f aca="false">IF(A71="","",IF(C71="","",D71*B71*C71))</f>
        <v/>
      </c>
      <c r="G71" s="14" t="str">
        <f aca="false">IF(F71="","",F71-E71)</f>
        <v/>
      </c>
      <c r="H71" s="14" t="str">
        <f aca="false">IF(F71="","",IFERROR(F71-F70-(E71-E70),0))</f>
        <v/>
      </c>
    </row>
    <row r="72" customFormat="false" ht="15" hidden="false" customHeight="false" outlineLevel="0" collapsed="false">
      <c r="A72" s="13" t="str">
        <f aca="false">IF(Prices!A72="","",Prices!A72)</f>
        <v/>
      </c>
      <c r="B72" s="14" t="str">
        <f aca="false">IF(A72="","",Prices!C72)</f>
        <v/>
      </c>
      <c r="C72" s="15" t="str">
        <f aca="false">IF(A72="","",IFERROR(INDEX(FX!$B:$B,MATCH(A72,FX!$A:$A,1)),""))</f>
        <v/>
      </c>
      <c r="D72" s="14" t="str">
        <f aca="false">IF(A72="","",SUMIFS(Transactions!$D:$D,Transactions!$A:$A,"&lt;="&amp;A72,Transactions!$B:$B,Settings!$B$1))</f>
        <v/>
      </c>
      <c r="E72" s="14" t="str">
        <f aca="false">IF(A72="","",SUMIFS(Transactions!$C:$C,Transactions!$A:$A,"&lt;="&amp;A72,Transactions!$B:$B,Settings!$B$1)+SUMIFS(Transactions!$F:$F,Transactions!$A:$A,"&lt;="&amp;A72,Transactions!$B:$B,Settings!$B$1))</f>
        <v/>
      </c>
      <c r="F72" s="14" t="str">
        <f aca="false">IF(A72="","",IF(C72="","",D72*B72*C72))</f>
        <v/>
      </c>
      <c r="G72" s="14" t="str">
        <f aca="false">IF(F72="","",F72-E72)</f>
        <v/>
      </c>
      <c r="H72" s="14" t="str">
        <f aca="false">IF(F72="","",IFERROR(F72-F71-(E72-E71),0))</f>
        <v/>
      </c>
    </row>
    <row r="73" customFormat="false" ht="15" hidden="false" customHeight="false" outlineLevel="0" collapsed="false">
      <c r="A73" s="13" t="str">
        <f aca="false">IF(Prices!A73="","",Prices!A73)</f>
        <v/>
      </c>
      <c r="B73" s="14" t="str">
        <f aca="false">IF(A73="","",Prices!C73)</f>
        <v/>
      </c>
      <c r="C73" s="15" t="str">
        <f aca="false">IF(A73="","",IFERROR(INDEX(FX!$B:$B,MATCH(A73,FX!$A:$A,1)),""))</f>
        <v/>
      </c>
      <c r="D73" s="14" t="str">
        <f aca="false">IF(A73="","",SUMIFS(Transactions!$D:$D,Transactions!$A:$A,"&lt;="&amp;A73,Transactions!$B:$B,Settings!$B$1))</f>
        <v/>
      </c>
      <c r="E73" s="14" t="str">
        <f aca="false">IF(A73="","",SUMIFS(Transactions!$C:$C,Transactions!$A:$A,"&lt;="&amp;A73,Transactions!$B:$B,Settings!$B$1)+SUMIFS(Transactions!$F:$F,Transactions!$A:$A,"&lt;="&amp;A73,Transactions!$B:$B,Settings!$B$1))</f>
        <v/>
      </c>
      <c r="F73" s="14" t="str">
        <f aca="false">IF(A73="","",IF(C73="","",D73*B73*C73))</f>
        <v/>
      </c>
      <c r="G73" s="14" t="str">
        <f aca="false">IF(F73="","",F73-E73)</f>
        <v/>
      </c>
      <c r="H73" s="14" t="str">
        <f aca="false">IF(F73="","",IFERROR(F73-F72-(E73-E72),0))</f>
        <v/>
      </c>
    </row>
    <row r="74" customFormat="false" ht="15" hidden="false" customHeight="false" outlineLevel="0" collapsed="false">
      <c r="A74" s="13" t="str">
        <f aca="false">IF(Prices!A74="","",Prices!A74)</f>
        <v/>
      </c>
      <c r="B74" s="14" t="str">
        <f aca="false">IF(A74="","",Prices!C74)</f>
        <v/>
      </c>
      <c r="C74" s="15" t="str">
        <f aca="false">IF(A74="","",IFERROR(INDEX(FX!$B:$B,MATCH(A74,FX!$A:$A,1)),""))</f>
        <v/>
      </c>
      <c r="D74" s="14" t="str">
        <f aca="false">IF(A74="","",SUMIFS(Transactions!$D:$D,Transactions!$A:$A,"&lt;="&amp;A74,Transactions!$B:$B,Settings!$B$1))</f>
        <v/>
      </c>
      <c r="E74" s="14" t="str">
        <f aca="false">IF(A74="","",SUMIFS(Transactions!$C:$C,Transactions!$A:$A,"&lt;="&amp;A74,Transactions!$B:$B,Settings!$B$1)+SUMIFS(Transactions!$F:$F,Transactions!$A:$A,"&lt;="&amp;A74,Transactions!$B:$B,Settings!$B$1))</f>
        <v/>
      </c>
      <c r="F74" s="14" t="str">
        <f aca="false">IF(A74="","",IF(C74="","",D74*B74*C74))</f>
        <v/>
      </c>
      <c r="G74" s="14" t="str">
        <f aca="false">IF(F74="","",F74-E74)</f>
        <v/>
      </c>
      <c r="H74" s="14" t="str">
        <f aca="false">IF(F74="","",IFERROR(F74-F73-(E74-E73),0))</f>
        <v/>
      </c>
    </row>
    <row r="75" customFormat="false" ht="15" hidden="false" customHeight="false" outlineLevel="0" collapsed="false">
      <c r="A75" s="13" t="str">
        <f aca="false">IF(Prices!A75="","",Prices!A75)</f>
        <v/>
      </c>
      <c r="B75" s="14" t="str">
        <f aca="false">IF(A75="","",Prices!C75)</f>
        <v/>
      </c>
      <c r="C75" s="15" t="str">
        <f aca="false">IF(A75="","",IFERROR(INDEX(FX!$B:$B,MATCH(A75,FX!$A:$A,1)),""))</f>
        <v/>
      </c>
      <c r="D75" s="14" t="str">
        <f aca="false">IF(A75="","",SUMIFS(Transactions!$D:$D,Transactions!$A:$A,"&lt;="&amp;A75,Transactions!$B:$B,Settings!$B$1))</f>
        <v/>
      </c>
      <c r="E75" s="14" t="str">
        <f aca="false">IF(A75="","",SUMIFS(Transactions!$C:$C,Transactions!$A:$A,"&lt;="&amp;A75,Transactions!$B:$B,Settings!$B$1)+SUMIFS(Transactions!$F:$F,Transactions!$A:$A,"&lt;="&amp;A75,Transactions!$B:$B,Settings!$B$1))</f>
        <v/>
      </c>
      <c r="F75" s="14" t="str">
        <f aca="false">IF(A75="","",IF(C75="","",D75*B75*C75))</f>
        <v/>
      </c>
      <c r="G75" s="14" t="str">
        <f aca="false">IF(F75="","",F75-E75)</f>
        <v/>
      </c>
      <c r="H75" s="14" t="str">
        <f aca="false">IF(F75="","",IFERROR(F75-F74-(E75-E74),0))</f>
        <v/>
      </c>
    </row>
    <row r="76" customFormat="false" ht="15" hidden="false" customHeight="false" outlineLevel="0" collapsed="false">
      <c r="A76" s="13" t="str">
        <f aca="false">IF(Prices!A76="","",Prices!A76)</f>
        <v/>
      </c>
      <c r="B76" s="14" t="str">
        <f aca="false">IF(A76="","",Prices!C76)</f>
        <v/>
      </c>
      <c r="C76" s="15" t="str">
        <f aca="false">IF(A76="","",IFERROR(INDEX(FX!$B:$B,MATCH(A76,FX!$A:$A,1)),""))</f>
        <v/>
      </c>
      <c r="D76" s="14" t="str">
        <f aca="false">IF(A76="","",SUMIFS(Transactions!$D:$D,Transactions!$A:$A,"&lt;="&amp;A76,Transactions!$B:$B,Settings!$B$1))</f>
        <v/>
      </c>
      <c r="E76" s="14" t="str">
        <f aca="false">IF(A76="","",SUMIFS(Transactions!$C:$C,Transactions!$A:$A,"&lt;="&amp;A76,Transactions!$B:$B,Settings!$B$1)+SUMIFS(Transactions!$F:$F,Transactions!$A:$A,"&lt;="&amp;A76,Transactions!$B:$B,Settings!$B$1))</f>
        <v/>
      </c>
      <c r="F76" s="14" t="str">
        <f aca="false">IF(A76="","",IF(C76="","",D76*B76*C76))</f>
        <v/>
      </c>
      <c r="G76" s="14" t="str">
        <f aca="false">IF(F76="","",F76-E76)</f>
        <v/>
      </c>
      <c r="H76" s="14" t="str">
        <f aca="false">IF(F76="","",IFERROR(F76-F75-(E76-E75),0))</f>
        <v/>
      </c>
    </row>
    <row r="77" customFormat="false" ht="15" hidden="false" customHeight="false" outlineLevel="0" collapsed="false">
      <c r="A77" s="13" t="str">
        <f aca="false">IF(Prices!A77="","",Prices!A77)</f>
        <v/>
      </c>
      <c r="B77" s="14" t="str">
        <f aca="false">IF(A77="","",Prices!C77)</f>
        <v/>
      </c>
      <c r="C77" s="15" t="str">
        <f aca="false">IF(A77="","",IFERROR(INDEX(FX!$B:$B,MATCH(A77,FX!$A:$A,1)),""))</f>
        <v/>
      </c>
      <c r="D77" s="14" t="str">
        <f aca="false">IF(A77="","",SUMIFS(Transactions!$D:$D,Transactions!$A:$A,"&lt;="&amp;A77,Transactions!$B:$B,Settings!$B$1))</f>
        <v/>
      </c>
      <c r="E77" s="14" t="str">
        <f aca="false">IF(A77="","",SUMIFS(Transactions!$C:$C,Transactions!$A:$A,"&lt;="&amp;A77,Transactions!$B:$B,Settings!$B$1)+SUMIFS(Transactions!$F:$F,Transactions!$A:$A,"&lt;="&amp;A77,Transactions!$B:$B,Settings!$B$1))</f>
        <v/>
      </c>
      <c r="F77" s="14" t="str">
        <f aca="false">IF(A77="","",IF(C77="","",D77*B77*C77))</f>
        <v/>
      </c>
      <c r="G77" s="14" t="str">
        <f aca="false">IF(F77="","",F77-E77)</f>
        <v/>
      </c>
      <c r="H77" s="14" t="str">
        <f aca="false">IF(F77="","",IFERROR(F77-F76-(E77-E76),0))</f>
        <v/>
      </c>
    </row>
    <row r="78" customFormat="false" ht="15" hidden="false" customHeight="false" outlineLevel="0" collapsed="false">
      <c r="A78" s="13" t="str">
        <f aca="false">IF(Prices!A78="","",Prices!A78)</f>
        <v/>
      </c>
      <c r="B78" s="14" t="str">
        <f aca="false">IF(A78="","",Prices!C78)</f>
        <v/>
      </c>
      <c r="C78" s="15" t="str">
        <f aca="false">IF(A78="","",IFERROR(INDEX(FX!$B:$B,MATCH(A78,FX!$A:$A,1)),""))</f>
        <v/>
      </c>
      <c r="D78" s="14" t="str">
        <f aca="false">IF(A78="","",SUMIFS(Transactions!$D:$D,Transactions!$A:$A,"&lt;="&amp;A78,Transactions!$B:$B,Settings!$B$1))</f>
        <v/>
      </c>
      <c r="E78" s="14" t="str">
        <f aca="false">IF(A78="","",SUMIFS(Transactions!$C:$C,Transactions!$A:$A,"&lt;="&amp;A78,Transactions!$B:$B,Settings!$B$1)+SUMIFS(Transactions!$F:$F,Transactions!$A:$A,"&lt;="&amp;A78,Transactions!$B:$B,Settings!$B$1))</f>
        <v/>
      </c>
      <c r="F78" s="14" t="str">
        <f aca="false">IF(A78="","",IF(C78="","",D78*B78*C78))</f>
        <v/>
      </c>
      <c r="G78" s="14" t="str">
        <f aca="false">IF(F78="","",F78-E78)</f>
        <v/>
      </c>
      <c r="H78" s="14" t="str">
        <f aca="false">IF(F78="","",IFERROR(F78-F77-(E78-E77),0))</f>
        <v/>
      </c>
    </row>
    <row r="79" customFormat="false" ht="15" hidden="false" customHeight="false" outlineLevel="0" collapsed="false">
      <c r="A79" s="13" t="str">
        <f aca="false">IF(Prices!A79="","",Prices!A79)</f>
        <v/>
      </c>
      <c r="B79" s="14" t="str">
        <f aca="false">IF(A79="","",Prices!C79)</f>
        <v/>
      </c>
      <c r="C79" s="15" t="str">
        <f aca="false">IF(A79="","",IFERROR(INDEX(FX!$B:$B,MATCH(A79,FX!$A:$A,1)),""))</f>
        <v/>
      </c>
      <c r="D79" s="14" t="str">
        <f aca="false">IF(A79="","",SUMIFS(Transactions!$D:$D,Transactions!$A:$A,"&lt;="&amp;A79,Transactions!$B:$B,Settings!$B$1))</f>
        <v/>
      </c>
      <c r="E79" s="14" t="str">
        <f aca="false">IF(A79="","",SUMIFS(Transactions!$C:$C,Transactions!$A:$A,"&lt;="&amp;A79,Transactions!$B:$B,Settings!$B$1)+SUMIFS(Transactions!$F:$F,Transactions!$A:$A,"&lt;="&amp;A79,Transactions!$B:$B,Settings!$B$1))</f>
        <v/>
      </c>
      <c r="F79" s="14" t="str">
        <f aca="false">IF(A79="","",IF(C79="","",D79*B79*C79))</f>
        <v/>
      </c>
      <c r="G79" s="14" t="str">
        <f aca="false">IF(F79="","",F79-E79)</f>
        <v/>
      </c>
      <c r="H79" s="14" t="str">
        <f aca="false">IF(F79="","",IFERROR(F79-F78-(E79-E78),0))</f>
        <v/>
      </c>
    </row>
    <row r="80" customFormat="false" ht="15" hidden="false" customHeight="false" outlineLevel="0" collapsed="false">
      <c r="A80" s="13" t="str">
        <f aca="false">IF(Prices!A80="","",Prices!A80)</f>
        <v/>
      </c>
      <c r="B80" s="14" t="str">
        <f aca="false">IF(A80="","",Prices!C80)</f>
        <v/>
      </c>
      <c r="C80" s="15" t="str">
        <f aca="false">IF(A80="","",IFERROR(INDEX(FX!$B:$B,MATCH(A80,FX!$A:$A,1)),""))</f>
        <v/>
      </c>
      <c r="D80" s="14" t="str">
        <f aca="false">IF(A80="","",SUMIFS(Transactions!$D:$D,Transactions!$A:$A,"&lt;="&amp;A80,Transactions!$B:$B,Settings!$B$1))</f>
        <v/>
      </c>
      <c r="E80" s="14" t="str">
        <f aca="false">IF(A80="","",SUMIFS(Transactions!$C:$C,Transactions!$A:$A,"&lt;="&amp;A80,Transactions!$B:$B,Settings!$B$1)+SUMIFS(Transactions!$F:$F,Transactions!$A:$A,"&lt;="&amp;A80,Transactions!$B:$B,Settings!$B$1))</f>
        <v/>
      </c>
      <c r="F80" s="14" t="str">
        <f aca="false">IF(A80="","",IF(C80="","",D80*B80*C80))</f>
        <v/>
      </c>
      <c r="G80" s="14" t="str">
        <f aca="false">IF(F80="","",F80-E80)</f>
        <v/>
      </c>
      <c r="H80" s="14" t="str">
        <f aca="false">IF(F80="","",IFERROR(F80-F79-(E80-E79),0))</f>
        <v/>
      </c>
    </row>
    <row r="81" customFormat="false" ht="15" hidden="false" customHeight="false" outlineLevel="0" collapsed="false">
      <c r="A81" s="13" t="str">
        <f aca="false">IF(Prices!A81="","",Prices!A81)</f>
        <v/>
      </c>
      <c r="B81" s="14" t="str">
        <f aca="false">IF(A81="","",Prices!C81)</f>
        <v/>
      </c>
      <c r="C81" s="15" t="str">
        <f aca="false">IF(A81="","",IFERROR(INDEX(FX!$B:$B,MATCH(A81,FX!$A:$A,1)),""))</f>
        <v/>
      </c>
      <c r="D81" s="14" t="str">
        <f aca="false">IF(A81="","",SUMIFS(Transactions!$D:$D,Transactions!$A:$A,"&lt;="&amp;A81,Transactions!$B:$B,Settings!$B$1))</f>
        <v/>
      </c>
      <c r="E81" s="14" t="str">
        <f aca="false">IF(A81="","",SUMIFS(Transactions!$C:$C,Transactions!$A:$A,"&lt;="&amp;A81,Transactions!$B:$B,Settings!$B$1)+SUMIFS(Transactions!$F:$F,Transactions!$A:$A,"&lt;="&amp;A81,Transactions!$B:$B,Settings!$B$1))</f>
        <v/>
      </c>
      <c r="F81" s="14" t="str">
        <f aca="false">IF(A81="","",IF(C81="","",D81*B81*C81))</f>
        <v/>
      </c>
      <c r="G81" s="14" t="str">
        <f aca="false">IF(F81="","",F81-E81)</f>
        <v/>
      </c>
      <c r="H81" s="14" t="str">
        <f aca="false">IF(F81="","",IFERROR(F81-F80-(E81-E80),0))</f>
        <v/>
      </c>
    </row>
    <row r="82" customFormat="false" ht="15" hidden="false" customHeight="false" outlineLevel="0" collapsed="false">
      <c r="A82" s="13" t="str">
        <f aca="false">IF(Prices!A82="","",Prices!A82)</f>
        <v/>
      </c>
      <c r="B82" s="14" t="str">
        <f aca="false">IF(A82="","",Prices!C82)</f>
        <v/>
      </c>
      <c r="C82" s="15" t="str">
        <f aca="false">IF(A82="","",IFERROR(INDEX(FX!$B:$B,MATCH(A82,FX!$A:$A,1)),""))</f>
        <v/>
      </c>
      <c r="D82" s="14" t="str">
        <f aca="false">IF(A82="","",SUMIFS(Transactions!$D:$D,Transactions!$A:$A,"&lt;="&amp;A82,Transactions!$B:$B,Settings!$B$1))</f>
        <v/>
      </c>
      <c r="E82" s="14" t="str">
        <f aca="false">IF(A82="","",SUMIFS(Transactions!$C:$C,Transactions!$A:$A,"&lt;="&amp;A82,Transactions!$B:$B,Settings!$B$1)+SUMIFS(Transactions!$F:$F,Transactions!$A:$A,"&lt;="&amp;A82,Transactions!$B:$B,Settings!$B$1))</f>
        <v/>
      </c>
      <c r="F82" s="14" t="str">
        <f aca="false">IF(A82="","",IF(C82="","",D82*B82*C82))</f>
        <v/>
      </c>
      <c r="G82" s="14" t="str">
        <f aca="false">IF(F82="","",F82-E82)</f>
        <v/>
      </c>
      <c r="H82" s="14" t="str">
        <f aca="false">IF(F82="","",IFERROR(F82-F81-(E82-E81),0))</f>
        <v/>
      </c>
    </row>
    <row r="83" customFormat="false" ht="15" hidden="false" customHeight="false" outlineLevel="0" collapsed="false">
      <c r="A83" s="13" t="str">
        <f aca="false">IF(Prices!A83="","",Prices!A83)</f>
        <v/>
      </c>
      <c r="B83" s="14" t="str">
        <f aca="false">IF(A83="","",Prices!C83)</f>
        <v/>
      </c>
      <c r="C83" s="15" t="str">
        <f aca="false">IF(A83="","",IFERROR(INDEX(FX!$B:$B,MATCH(A83,FX!$A:$A,1)),""))</f>
        <v/>
      </c>
      <c r="D83" s="14" t="str">
        <f aca="false">IF(A83="","",SUMIFS(Transactions!$D:$D,Transactions!$A:$A,"&lt;="&amp;A83,Transactions!$B:$B,Settings!$B$1))</f>
        <v/>
      </c>
      <c r="E83" s="14" t="str">
        <f aca="false">IF(A83="","",SUMIFS(Transactions!$C:$C,Transactions!$A:$A,"&lt;="&amp;A83,Transactions!$B:$B,Settings!$B$1)+SUMIFS(Transactions!$F:$F,Transactions!$A:$A,"&lt;="&amp;A83,Transactions!$B:$B,Settings!$B$1))</f>
        <v/>
      </c>
      <c r="F83" s="14" t="str">
        <f aca="false">IF(A83="","",IF(C83="","",D83*B83*C83))</f>
        <v/>
      </c>
      <c r="G83" s="14" t="str">
        <f aca="false">IF(F83="","",F83-E83)</f>
        <v/>
      </c>
      <c r="H83" s="14" t="str">
        <f aca="false">IF(F83="","",IFERROR(F83-F82-(E83-E82),0))</f>
        <v/>
      </c>
    </row>
    <row r="84" customFormat="false" ht="15" hidden="false" customHeight="false" outlineLevel="0" collapsed="false">
      <c r="A84" s="13" t="str">
        <f aca="false">IF(Prices!A84="","",Prices!A84)</f>
        <v/>
      </c>
      <c r="B84" s="14" t="str">
        <f aca="false">IF(A84="","",Prices!C84)</f>
        <v/>
      </c>
      <c r="C84" s="15" t="str">
        <f aca="false">IF(A84="","",IFERROR(INDEX(FX!$B:$B,MATCH(A84,FX!$A:$A,1)),""))</f>
        <v/>
      </c>
      <c r="D84" s="14" t="str">
        <f aca="false">IF(A84="","",SUMIFS(Transactions!$D:$D,Transactions!$A:$A,"&lt;="&amp;A84,Transactions!$B:$B,Settings!$B$1))</f>
        <v/>
      </c>
      <c r="E84" s="14" t="str">
        <f aca="false">IF(A84="","",SUMIFS(Transactions!$C:$C,Transactions!$A:$A,"&lt;="&amp;A84,Transactions!$B:$B,Settings!$B$1)+SUMIFS(Transactions!$F:$F,Transactions!$A:$A,"&lt;="&amp;A84,Transactions!$B:$B,Settings!$B$1))</f>
        <v/>
      </c>
      <c r="F84" s="14" t="str">
        <f aca="false">IF(A84="","",IF(C84="","",D84*B84*C84))</f>
        <v/>
      </c>
      <c r="G84" s="14" t="str">
        <f aca="false">IF(F84="","",F84-E84)</f>
        <v/>
      </c>
      <c r="H84" s="14" t="str">
        <f aca="false">IF(F84="","",IFERROR(F84-F83-(E84-E83),0))</f>
        <v/>
      </c>
    </row>
    <row r="85" customFormat="false" ht="15" hidden="false" customHeight="false" outlineLevel="0" collapsed="false">
      <c r="A85" s="13" t="str">
        <f aca="false">IF(Prices!A85="","",Prices!A85)</f>
        <v/>
      </c>
      <c r="B85" s="14" t="str">
        <f aca="false">IF(A85="","",Prices!C85)</f>
        <v/>
      </c>
      <c r="C85" s="15" t="str">
        <f aca="false">IF(A85="","",IFERROR(INDEX(FX!$B:$B,MATCH(A85,FX!$A:$A,1)),""))</f>
        <v/>
      </c>
      <c r="D85" s="14" t="str">
        <f aca="false">IF(A85="","",SUMIFS(Transactions!$D:$D,Transactions!$A:$A,"&lt;="&amp;A85,Transactions!$B:$B,Settings!$B$1))</f>
        <v/>
      </c>
      <c r="E85" s="14" t="str">
        <f aca="false">IF(A85="","",SUMIFS(Transactions!$C:$C,Transactions!$A:$A,"&lt;="&amp;A85,Transactions!$B:$B,Settings!$B$1)+SUMIFS(Transactions!$F:$F,Transactions!$A:$A,"&lt;="&amp;A85,Transactions!$B:$B,Settings!$B$1))</f>
        <v/>
      </c>
      <c r="F85" s="14" t="str">
        <f aca="false">IF(A85="","",IF(C85="","",D85*B85*C85))</f>
        <v/>
      </c>
      <c r="G85" s="14" t="str">
        <f aca="false">IF(F85="","",F85-E85)</f>
        <v/>
      </c>
      <c r="H85" s="14" t="str">
        <f aca="false">IF(F85="","",IFERROR(F85-F84-(E85-E84),0))</f>
        <v/>
      </c>
    </row>
    <row r="86" customFormat="false" ht="15" hidden="false" customHeight="false" outlineLevel="0" collapsed="false">
      <c r="A86" s="13" t="str">
        <f aca="false">IF(Prices!A86="","",Prices!A86)</f>
        <v/>
      </c>
      <c r="B86" s="14" t="str">
        <f aca="false">IF(A86="","",Prices!C86)</f>
        <v/>
      </c>
      <c r="C86" s="15" t="str">
        <f aca="false">IF(A86="","",IFERROR(INDEX(FX!$B:$B,MATCH(A86,FX!$A:$A,1)),""))</f>
        <v/>
      </c>
      <c r="D86" s="14" t="str">
        <f aca="false">IF(A86="","",SUMIFS(Transactions!$D:$D,Transactions!$A:$A,"&lt;="&amp;A86,Transactions!$B:$B,Settings!$B$1))</f>
        <v/>
      </c>
      <c r="E86" s="14" t="str">
        <f aca="false">IF(A86="","",SUMIFS(Transactions!$C:$C,Transactions!$A:$A,"&lt;="&amp;A86,Transactions!$B:$B,Settings!$B$1)+SUMIFS(Transactions!$F:$F,Transactions!$A:$A,"&lt;="&amp;A86,Transactions!$B:$B,Settings!$B$1))</f>
        <v/>
      </c>
      <c r="F86" s="14" t="str">
        <f aca="false">IF(A86="","",IF(C86="","",D86*B86*C86))</f>
        <v/>
      </c>
      <c r="G86" s="14" t="str">
        <f aca="false">IF(F86="","",F86-E86)</f>
        <v/>
      </c>
      <c r="H86" s="14" t="str">
        <f aca="false">IF(F86="","",IFERROR(F86-F85-(E86-E85),0))</f>
        <v/>
      </c>
    </row>
    <row r="87" customFormat="false" ht="15" hidden="false" customHeight="false" outlineLevel="0" collapsed="false">
      <c r="A87" s="13" t="str">
        <f aca="false">IF(Prices!A87="","",Prices!A87)</f>
        <v/>
      </c>
      <c r="B87" s="14" t="str">
        <f aca="false">IF(A87="","",Prices!C87)</f>
        <v/>
      </c>
      <c r="C87" s="15" t="str">
        <f aca="false">IF(A87="","",IFERROR(INDEX(FX!$B:$B,MATCH(A87,FX!$A:$A,1)),""))</f>
        <v/>
      </c>
      <c r="D87" s="14" t="str">
        <f aca="false">IF(A87="","",SUMIFS(Transactions!$D:$D,Transactions!$A:$A,"&lt;="&amp;A87,Transactions!$B:$B,Settings!$B$1))</f>
        <v/>
      </c>
      <c r="E87" s="14" t="str">
        <f aca="false">IF(A87="","",SUMIFS(Transactions!$C:$C,Transactions!$A:$A,"&lt;="&amp;A87,Transactions!$B:$B,Settings!$B$1)+SUMIFS(Transactions!$F:$F,Transactions!$A:$A,"&lt;="&amp;A87,Transactions!$B:$B,Settings!$B$1))</f>
        <v/>
      </c>
      <c r="F87" s="14" t="str">
        <f aca="false">IF(A87="","",IF(C87="","",D87*B87*C87))</f>
        <v/>
      </c>
      <c r="G87" s="14" t="str">
        <f aca="false">IF(F87="","",F87-E87)</f>
        <v/>
      </c>
      <c r="H87" s="14" t="str">
        <f aca="false">IF(F87="","",IFERROR(F87-F86-(E87-E86),0))</f>
        <v/>
      </c>
    </row>
    <row r="88" customFormat="false" ht="15" hidden="false" customHeight="false" outlineLevel="0" collapsed="false">
      <c r="A88" s="13" t="str">
        <f aca="false">IF(Prices!A88="","",Prices!A88)</f>
        <v/>
      </c>
      <c r="B88" s="14" t="str">
        <f aca="false">IF(A88="","",Prices!C88)</f>
        <v/>
      </c>
      <c r="C88" s="15" t="str">
        <f aca="false">IF(A88="","",IFERROR(INDEX(FX!$B:$B,MATCH(A88,FX!$A:$A,1)),""))</f>
        <v/>
      </c>
      <c r="D88" s="14" t="str">
        <f aca="false">IF(A88="","",SUMIFS(Transactions!$D:$D,Transactions!$A:$A,"&lt;="&amp;A88,Transactions!$B:$B,Settings!$B$1))</f>
        <v/>
      </c>
      <c r="E88" s="14" t="str">
        <f aca="false">IF(A88="","",SUMIFS(Transactions!$C:$C,Transactions!$A:$A,"&lt;="&amp;A88,Transactions!$B:$B,Settings!$B$1)+SUMIFS(Transactions!$F:$F,Transactions!$A:$A,"&lt;="&amp;A88,Transactions!$B:$B,Settings!$B$1))</f>
        <v/>
      </c>
      <c r="F88" s="14" t="str">
        <f aca="false">IF(A88="","",IF(C88="","",D88*B88*C88))</f>
        <v/>
      </c>
      <c r="G88" s="14" t="str">
        <f aca="false">IF(F88="","",F88-E88)</f>
        <v/>
      </c>
      <c r="H88" s="14" t="str">
        <f aca="false">IF(F88="","",IFERROR(F88-F87-(E88-E87),0))</f>
        <v/>
      </c>
    </row>
    <row r="89" customFormat="false" ht="15" hidden="false" customHeight="false" outlineLevel="0" collapsed="false">
      <c r="A89" s="13" t="str">
        <f aca="false">IF(Prices!A89="","",Prices!A89)</f>
        <v/>
      </c>
      <c r="B89" s="14" t="str">
        <f aca="false">IF(A89="","",Prices!C89)</f>
        <v/>
      </c>
      <c r="C89" s="15" t="str">
        <f aca="false">IF(A89="","",IFERROR(INDEX(FX!$B:$B,MATCH(A89,FX!$A:$A,1)),""))</f>
        <v/>
      </c>
      <c r="D89" s="14" t="str">
        <f aca="false">IF(A89="","",SUMIFS(Transactions!$D:$D,Transactions!$A:$A,"&lt;="&amp;A89,Transactions!$B:$B,Settings!$B$1))</f>
        <v/>
      </c>
      <c r="E89" s="14" t="str">
        <f aca="false">IF(A89="","",SUMIFS(Transactions!$C:$C,Transactions!$A:$A,"&lt;="&amp;A89,Transactions!$B:$B,Settings!$B$1)+SUMIFS(Transactions!$F:$F,Transactions!$A:$A,"&lt;="&amp;A89,Transactions!$B:$B,Settings!$B$1))</f>
        <v/>
      </c>
      <c r="F89" s="14" t="str">
        <f aca="false">IF(A89="","",IF(C89="","",D89*B89*C89))</f>
        <v/>
      </c>
      <c r="G89" s="14" t="str">
        <f aca="false">IF(F89="","",F89-E89)</f>
        <v/>
      </c>
      <c r="H89" s="14" t="str">
        <f aca="false">IF(F89="","",IFERROR(F89-F88-(E89-E88),0))</f>
        <v/>
      </c>
    </row>
    <row r="90" customFormat="false" ht="15" hidden="false" customHeight="false" outlineLevel="0" collapsed="false">
      <c r="A90" s="13" t="str">
        <f aca="false">IF(Prices!A90="","",Prices!A90)</f>
        <v/>
      </c>
      <c r="B90" s="14" t="str">
        <f aca="false">IF(A90="","",Prices!C90)</f>
        <v/>
      </c>
      <c r="C90" s="15" t="str">
        <f aca="false">IF(A90="","",IFERROR(INDEX(FX!$B:$B,MATCH(A90,FX!$A:$A,1)),""))</f>
        <v/>
      </c>
      <c r="D90" s="14" t="str">
        <f aca="false">IF(A90="","",SUMIFS(Transactions!$D:$D,Transactions!$A:$A,"&lt;="&amp;A90,Transactions!$B:$B,Settings!$B$1))</f>
        <v/>
      </c>
      <c r="E90" s="14" t="str">
        <f aca="false">IF(A90="","",SUMIFS(Transactions!$C:$C,Transactions!$A:$A,"&lt;="&amp;A90,Transactions!$B:$B,Settings!$B$1)+SUMIFS(Transactions!$F:$F,Transactions!$A:$A,"&lt;="&amp;A90,Transactions!$B:$B,Settings!$B$1))</f>
        <v/>
      </c>
      <c r="F90" s="14" t="str">
        <f aca="false">IF(A90="","",IF(C90="","",D90*B90*C90))</f>
        <v/>
      </c>
      <c r="G90" s="14" t="str">
        <f aca="false">IF(F90="","",F90-E90)</f>
        <v/>
      </c>
      <c r="H90" s="14" t="str">
        <f aca="false">IF(F90="","",IFERROR(F90-F89-(E90-E89),0))</f>
        <v/>
      </c>
    </row>
    <row r="91" customFormat="false" ht="15" hidden="false" customHeight="false" outlineLevel="0" collapsed="false">
      <c r="A91" s="13" t="str">
        <f aca="false">IF(Prices!A91="","",Prices!A91)</f>
        <v/>
      </c>
      <c r="B91" s="14" t="str">
        <f aca="false">IF(A91="","",Prices!C91)</f>
        <v/>
      </c>
      <c r="C91" s="15" t="str">
        <f aca="false">IF(A91="","",IFERROR(INDEX(FX!$B:$B,MATCH(A91,FX!$A:$A,1)),""))</f>
        <v/>
      </c>
      <c r="D91" s="14" t="str">
        <f aca="false">IF(A91="","",SUMIFS(Transactions!$D:$D,Transactions!$A:$A,"&lt;="&amp;A91,Transactions!$B:$B,Settings!$B$1))</f>
        <v/>
      </c>
      <c r="E91" s="14" t="str">
        <f aca="false">IF(A91="","",SUMIFS(Transactions!$C:$C,Transactions!$A:$A,"&lt;="&amp;A91,Transactions!$B:$B,Settings!$B$1)+SUMIFS(Transactions!$F:$F,Transactions!$A:$A,"&lt;="&amp;A91,Transactions!$B:$B,Settings!$B$1))</f>
        <v/>
      </c>
      <c r="F91" s="14" t="str">
        <f aca="false">IF(A91="","",IF(C91="","",D91*B91*C91))</f>
        <v/>
      </c>
      <c r="G91" s="14" t="str">
        <f aca="false">IF(F91="","",F91-E91)</f>
        <v/>
      </c>
      <c r="H91" s="14" t="str">
        <f aca="false">IF(F91="","",IFERROR(F91-F90-(E91-E90),0))</f>
        <v/>
      </c>
    </row>
    <row r="92" customFormat="false" ht="15" hidden="false" customHeight="false" outlineLevel="0" collapsed="false">
      <c r="A92" s="13" t="str">
        <f aca="false">IF(Prices!A92="","",Prices!A92)</f>
        <v/>
      </c>
      <c r="B92" s="14" t="str">
        <f aca="false">IF(A92="","",Prices!C92)</f>
        <v/>
      </c>
      <c r="C92" s="15" t="str">
        <f aca="false">IF(A92="","",IFERROR(INDEX(FX!$B:$B,MATCH(A92,FX!$A:$A,1)),""))</f>
        <v/>
      </c>
      <c r="D92" s="14" t="str">
        <f aca="false">IF(A92="","",SUMIFS(Transactions!$D:$D,Transactions!$A:$A,"&lt;="&amp;A92,Transactions!$B:$B,Settings!$B$1))</f>
        <v/>
      </c>
      <c r="E92" s="14" t="str">
        <f aca="false">IF(A92="","",SUMIFS(Transactions!$C:$C,Transactions!$A:$A,"&lt;="&amp;A92,Transactions!$B:$B,Settings!$B$1)+SUMIFS(Transactions!$F:$F,Transactions!$A:$A,"&lt;="&amp;A92,Transactions!$B:$B,Settings!$B$1))</f>
        <v/>
      </c>
      <c r="F92" s="14" t="str">
        <f aca="false">IF(A92="","",IF(C92="","",D92*B92*C92))</f>
        <v/>
      </c>
      <c r="G92" s="14" t="str">
        <f aca="false">IF(F92="","",F92-E92)</f>
        <v/>
      </c>
      <c r="H92" s="14" t="str">
        <f aca="false">IF(F92="","",IFERROR(F92-F91-(E92-E91),0))</f>
        <v/>
      </c>
    </row>
    <row r="93" customFormat="false" ht="15" hidden="false" customHeight="false" outlineLevel="0" collapsed="false">
      <c r="A93" s="13" t="str">
        <f aca="false">IF(Prices!A93="","",Prices!A93)</f>
        <v/>
      </c>
      <c r="B93" s="14" t="str">
        <f aca="false">IF(A93="","",Prices!C93)</f>
        <v/>
      </c>
      <c r="C93" s="15" t="str">
        <f aca="false">IF(A93="","",IFERROR(INDEX(FX!$B:$B,MATCH(A93,FX!$A:$A,1)),""))</f>
        <v/>
      </c>
      <c r="D93" s="14" t="str">
        <f aca="false">IF(A93="","",SUMIFS(Transactions!$D:$D,Transactions!$A:$A,"&lt;="&amp;A93,Transactions!$B:$B,Settings!$B$1))</f>
        <v/>
      </c>
      <c r="E93" s="14" t="str">
        <f aca="false">IF(A93="","",SUMIFS(Transactions!$C:$C,Transactions!$A:$A,"&lt;="&amp;A93,Transactions!$B:$B,Settings!$B$1)+SUMIFS(Transactions!$F:$F,Transactions!$A:$A,"&lt;="&amp;A93,Transactions!$B:$B,Settings!$B$1))</f>
        <v/>
      </c>
      <c r="F93" s="14" t="str">
        <f aca="false">IF(A93="","",IF(C93="","",D93*B93*C93))</f>
        <v/>
      </c>
      <c r="G93" s="14" t="str">
        <f aca="false">IF(F93="","",F93-E93)</f>
        <v/>
      </c>
      <c r="H93" s="14" t="str">
        <f aca="false">IF(F93="","",IFERROR(F93-F92-(E93-E92),0))</f>
        <v/>
      </c>
    </row>
    <row r="94" customFormat="false" ht="15" hidden="false" customHeight="false" outlineLevel="0" collapsed="false">
      <c r="A94" s="13" t="str">
        <f aca="false">IF(Prices!A94="","",Prices!A94)</f>
        <v/>
      </c>
      <c r="B94" s="14" t="str">
        <f aca="false">IF(A94="","",Prices!C94)</f>
        <v/>
      </c>
      <c r="C94" s="15" t="str">
        <f aca="false">IF(A94="","",IFERROR(INDEX(FX!$B:$B,MATCH(A94,FX!$A:$A,1)),""))</f>
        <v/>
      </c>
      <c r="D94" s="14" t="str">
        <f aca="false">IF(A94="","",SUMIFS(Transactions!$D:$D,Transactions!$A:$A,"&lt;="&amp;A94,Transactions!$B:$B,Settings!$B$1))</f>
        <v/>
      </c>
      <c r="E94" s="14" t="str">
        <f aca="false">IF(A94="","",SUMIFS(Transactions!$C:$C,Transactions!$A:$A,"&lt;="&amp;A94,Transactions!$B:$B,Settings!$B$1)+SUMIFS(Transactions!$F:$F,Transactions!$A:$A,"&lt;="&amp;A94,Transactions!$B:$B,Settings!$B$1))</f>
        <v/>
      </c>
      <c r="F94" s="14" t="str">
        <f aca="false">IF(A94="","",IF(C94="","",D94*B94*C94))</f>
        <v/>
      </c>
      <c r="G94" s="14" t="str">
        <f aca="false">IF(F94="","",F94-E94)</f>
        <v/>
      </c>
      <c r="H94" s="14" t="str">
        <f aca="false">IF(F94="","",IFERROR(F94-F93-(E94-E93),0))</f>
        <v/>
      </c>
    </row>
    <row r="95" customFormat="false" ht="15" hidden="false" customHeight="false" outlineLevel="0" collapsed="false">
      <c r="A95" s="13" t="str">
        <f aca="false">IF(Prices!A95="","",Prices!A95)</f>
        <v/>
      </c>
      <c r="B95" s="14" t="str">
        <f aca="false">IF(A95="","",Prices!C95)</f>
        <v/>
      </c>
      <c r="C95" s="15" t="str">
        <f aca="false">IF(A95="","",IFERROR(INDEX(FX!$B:$B,MATCH(A95,FX!$A:$A,1)),""))</f>
        <v/>
      </c>
      <c r="D95" s="14" t="str">
        <f aca="false">IF(A95="","",SUMIFS(Transactions!$D:$D,Transactions!$A:$A,"&lt;="&amp;A95,Transactions!$B:$B,Settings!$B$1))</f>
        <v/>
      </c>
      <c r="E95" s="14" t="str">
        <f aca="false">IF(A95="","",SUMIFS(Transactions!$C:$C,Transactions!$A:$A,"&lt;="&amp;A95,Transactions!$B:$B,Settings!$B$1)+SUMIFS(Transactions!$F:$F,Transactions!$A:$A,"&lt;="&amp;A95,Transactions!$B:$B,Settings!$B$1))</f>
        <v/>
      </c>
      <c r="F95" s="14" t="str">
        <f aca="false">IF(A95="","",IF(C95="","",D95*B95*C95))</f>
        <v/>
      </c>
      <c r="G95" s="14" t="str">
        <f aca="false">IF(F95="","",F95-E95)</f>
        <v/>
      </c>
      <c r="H95" s="14" t="str">
        <f aca="false">IF(F95="","",IFERROR(F95-F94-(E95-E94),0))</f>
        <v/>
      </c>
    </row>
    <row r="96" customFormat="false" ht="15" hidden="false" customHeight="false" outlineLevel="0" collapsed="false">
      <c r="A96" s="13" t="str">
        <f aca="false">IF(Prices!A96="","",Prices!A96)</f>
        <v/>
      </c>
      <c r="B96" s="14" t="str">
        <f aca="false">IF(A96="","",Prices!C96)</f>
        <v/>
      </c>
      <c r="C96" s="15" t="str">
        <f aca="false">IF(A96="","",IFERROR(INDEX(FX!$B:$B,MATCH(A96,FX!$A:$A,1)),""))</f>
        <v/>
      </c>
      <c r="D96" s="14" t="str">
        <f aca="false">IF(A96="","",SUMIFS(Transactions!$D:$D,Transactions!$A:$A,"&lt;="&amp;A96,Transactions!$B:$B,Settings!$B$1))</f>
        <v/>
      </c>
      <c r="E96" s="14" t="str">
        <f aca="false">IF(A96="","",SUMIFS(Transactions!$C:$C,Transactions!$A:$A,"&lt;="&amp;A96,Transactions!$B:$B,Settings!$B$1)+SUMIFS(Transactions!$F:$F,Transactions!$A:$A,"&lt;="&amp;A96,Transactions!$B:$B,Settings!$B$1))</f>
        <v/>
      </c>
      <c r="F96" s="14" t="str">
        <f aca="false">IF(A96="","",IF(C96="","",D96*B96*C96))</f>
        <v/>
      </c>
      <c r="G96" s="14" t="str">
        <f aca="false">IF(F96="","",F96-E96)</f>
        <v/>
      </c>
      <c r="H96" s="14" t="str">
        <f aca="false">IF(F96="","",IFERROR(F96-F95-(E96-E95),0))</f>
        <v/>
      </c>
    </row>
    <row r="97" customFormat="false" ht="15" hidden="false" customHeight="false" outlineLevel="0" collapsed="false">
      <c r="A97" s="13" t="str">
        <f aca="false">IF(Prices!A97="","",Prices!A97)</f>
        <v/>
      </c>
      <c r="B97" s="14" t="str">
        <f aca="false">IF(A97="","",Prices!C97)</f>
        <v/>
      </c>
      <c r="C97" s="15" t="str">
        <f aca="false">IF(A97="","",IFERROR(INDEX(FX!$B:$B,MATCH(A97,FX!$A:$A,1)),""))</f>
        <v/>
      </c>
      <c r="D97" s="14" t="str">
        <f aca="false">IF(A97="","",SUMIFS(Transactions!$D:$D,Transactions!$A:$A,"&lt;="&amp;A97,Transactions!$B:$B,Settings!$B$1))</f>
        <v/>
      </c>
      <c r="E97" s="14" t="str">
        <f aca="false">IF(A97="","",SUMIFS(Transactions!$C:$C,Transactions!$A:$A,"&lt;="&amp;A97,Transactions!$B:$B,Settings!$B$1)+SUMIFS(Transactions!$F:$F,Transactions!$A:$A,"&lt;="&amp;A97,Transactions!$B:$B,Settings!$B$1))</f>
        <v/>
      </c>
      <c r="F97" s="14" t="str">
        <f aca="false">IF(A97="","",IF(C97="","",D97*B97*C97))</f>
        <v/>
      </c>
      <c r="G97" s="14" t="str">
        <f aca="false">IF(F97="","",F97-E97)</f>
        <v/>
      </c>
      <c r="H97" s="14" t="str">
        <f aca="false">IF(F97="","",IFERROR(F97-F96-(E97-E96),0))</f>
        <v/>
      </c>
    </row>
    <row r="98" customFormat="false" ht="15" hidden="false" customHeight="false" outlineLevel="0" collapsed="false">
      <c r="A98" s="13" t="str">
        <f aca="false">IF(Prices!A98="","",Prices!A98)</f>
        <v/>
      </c>
      <c r="B98" s="14" t="str">
        <f aca="false">IF(A98="","",Prices!C98)</f>
        <v/>
      </c>
      <c r="C98" s="15" t="str">
        <f aca="false">IF(A98="","",IFERROR(INDEX(FX!$B:$B,MATCH(A98,FX!$A:$A,1)),""))</f>
        <v/>
      </c>
      <c r="D98" s="14" t="str">
        <f aca="false">IF(A98="","",SUMIFS(Transactions!$D:$D,Transactions!$A:$A,"&lt;="&amp;A98,Transactions!$B:$B,Settings!$B$1))</f>
        <v/>
      </c>
      <c r="E98" s="14" t="str">
        <f aca="false">IF(A98="","",SUMIFS(Transactions!$C:$C,Transactions!$A:$A,"&lt;="&amp;A98,Transactions!$B:$B,Settings!$B$1)+SUMIFS(Transactions!$F:$F,Transactions!$A:$A,"&lt;="&amp;A98,Transactions!$B:$B,Settings!$B$1))</f>
        <v/>
      </c>
      <c r="F98" s="14" t="str">
        <f aca="false">IF(A98="","",IF(C98="","",D98*B98*C98))</f>
        <v/>
      </c>
      <c r="G98" s="14" t="str">
        <f aca="false">IF(F98="","",F98-E98)</f>
        <v/>
      </c>
      <c r="H98" s="14" t="str">
        <f aca="false">IF(F98="","",IFERROR(F98-F97-(E98-E97),0))</f>
        <v/>
      </c>
    </row>
    <row r="99" customFormat="false" ht="15" hidden="false" customHeight="false" outlineLevel="0" collapsed="false">
      <c r="A99" s="13" t="str">
        <f aca="false">IF(Prices!A99="","",Prices!A99)</f>
        <v/>
      </c>
      <c r="B99" s="14" t="str">
        <f aca="false">IF(A99="","",Prices!C99)</f>
        <v/>
      </c>
      <c r="C99" s="15" t="str">
        <f aca="false">IF(A99="","",IFERROR(INDEX(FX!$B:$B,MATCH(A99,FX!$A:$A,1)),""))</f>
        <v/>
      </c>
      <c r="D99" s="14" t="str">
        <f aca="false">IF(A99="","",SUMIFS(Transactions!$D:$D,Transactions!$A:$A,"&lt;="&amp;A99,Transactions!$B:$B,Settings!$B$1))</f>
        <v/>
      </c>
      <c r="E99" s="14" t="str">
        <f aca="false">IF(A99="","",SUMIFS(Transactions!$C:$C,Transactions!$A:$A,"&lt;="&amp;A99,Transactions!$B:$B,Settings!$B$1)+SUMIFS(Transactions!$F:$F,Transactions!$A:$A,"&lt;="&amp;A99,Transactions!$B:$B,Settings!$B$1))</f>
        <v/>
      </c>
      <c r="F99" s="14" t="str">
        <f aca="false">IF(A99="","",IF(C99="","",D99*B99*C99))</f>
        <v/>
      </c>
      <c r="G99" s="14" t="str">
        <f aca="false">IF(F99="","",F99-E99)</f>
        <v/>
      </c>
      <c r="H99" s="14" t="str">
        <f aca="false">IF(F99="","",IFERROR(F99-F98-(E99-E98),0))</f>
        <v/>
      </c>
    </row>
    <row r="100" customFormat="false" ht="15" hidden="false" customHeight="false" outlineLevel="0" collapsed="false">
      <c r="A100" s="13" t="str">
        <f aca="false">IF(Prices!A100="","",Prices!A100)</f>
        <v/>
      </c>
      <c r="B100" s="14" t="str">
        <f aca="false">IF(A100="","",Prices!C100)</f>
        <v/>
      </c>
      <c r="C100" s="15" t="str">
        <f aca="false">IF(A100="","",IFERROR(INDEX(FX!$B:$B,MATCH(A100,FX!$A:$A,1)),""))</f>
        <v/>
      </c>
      <c r="D100" s="14" t="str">
        <f aca="false">IF(A100="","",SUMIFS(Transactions!$D:$D,Transactions!$A:$A,"&lt;="&amp;A100,Transactions!$B:$B,Settings!$B$1))</f>
        <v/>
      </c>
      <c r="E100" s="14" t="str">
        <f aca="false">IF(A100="","",SUMIFS(Transactions!$C:$C,Transactions!$A:$A,"&lt;="&amp;A100,Transactions!$B:$B,Settings!$B$1)+SUMIFS(Transactions!$F:$F,Transactions!$A:$A,"&lt;="&amp;A100,Transactions!$B:$B,Settings!$B$1))</f>
        <v/>
      </c>
      <c r="F100" s="14" t="str">
        <f aca="false">IF(A100="","",IF(C100="","",D100*B100*C100))</f>
        <v/>
      </c>
      <c r="G100" s="14" t="str">
        <f aca="false">IF(F100="","",F100-E100)</f>
        <v/>
      </c>
      <c r="H100" s="14" t="str">
        <f aca="false">IF(F100="","",IFERROR(F100-F99-(E100-E99),0))</f>
        <v/>
      </c>
    </row>
    <row r="101" customFormat="false" ht="15" hidden="false" customHeight="false" outlineLevel="0" collapsed="false">
      <c r="A101" s="13" t="str">
        <f aca="false">IF(Prices!A101="","",Prices!A101)</f>
        <v/>
      </c>
      <c r="B101" s="14" t="str">
        <f aca="false">IF(A101="","",Prices!C101)</f>
        <v/>
      </c>
      <c r="C101" s="15" t="str">
        <f aca="false">IF(A101="","",IFERROR(INDEX(FX!$B:$B,MATCH(A101,FX!$A:$A,1)),""))</f>
        <v/>
      </c>
      <c r="D101" s="14" t="str">
        <f aca="false">IF(A101="","",SUMIFS(Transactions!$D:$D,Transactions!$A:$A,"&lt;="&amp;A101,Transactions!$B:$B,Settings!$B$1))</f>
        <v/>
      </c>
      <c r="E101" s="14" t="str">
        <f aca="false">IF(A101="","",SUMIFS(Transactions!$C:$C,Transactions!$A:$A,"&lt;="&amp;A101,Transactions!$B:$B,Settings!$B$1)+SUMIFS(Transactions!$F:$F,Transactions!$A:$A,"&lt;="&amp;A101,Transactions!$B:$B,Settings!$B$1))</f>
        <v/>
      </c>
      <c r="F101" s="14" t="str">
        <f aca="false">IF(A101="","",IF(C101="","",D101*B101*C101))</f>
        <v/>
      </c>
      <c r="G101" s="14" t="str">
        <f aca="false">IF(F101="","",F101-E101)</f>
        <v/>
      </c>
      <c r="H101" s="14" t="str">
        <f aca="false">IF(F101="","",IFERROR(F101-F100-(E101-E100),0))</f>
        <v/>
      </c>
    </row>
    <row r="102" customFormat="false" ht="15" hidden="false" customHeight="false" outlineLevel="0" collapsed="false">
      <c r="A102" s="13" t="str">
        <f aca="false">IF(Prices!A102="","",Prices!A102)</f>
        <v/>
      </c>
      <c r="B102" s="14" t="str">
        <f aca="false">IF(A102="","",Prices!C102)</f>
        <v/>
      </c>
      <c r="C102" s="15" t="str">
        <f aca="false">IF(A102="","",IFERROR(INDEX(FX!$B:$B,MATCH(A102,FX!$A:$A,1)),""))</f>
        <v/>
      </c>
      <c r="D102" s="14" t="str">
        <f aca="false">IF(A102="","",SUMIFS(Transactions!$D:$D,Transactions!$A:$A,"&lt;="&amp;A102,Transactions!$B:$B,Settings!$B$1))</f>
        <v/>
      </c>
      <c r="E102" s="14" t="str">
        <f aca="false">IF(A102="","",SUMIFS(Transactions!$C:$C,Transactions!$A:$A,"&lt;="&amp;A102,Transactions!$B:$B,Settings!$B$1)+SUMIFS(Transactions!$F:$F,Transactions!$A:$A,"&lt;="&amp;A102,Transactions!$B:$B,Settings!$B$1))</f>
        <v/>
      </c>
      <c r="F102" s="14" t="str">
        <f aca="false">IF(A102="","",IF(C102="","",D102*B102*C102))</f>
        <v/>
      </c>
      <c r="G102" s="14" t="str">
        <f aca="false">IF(F102="","",F102-E102)</f>
        <v/>
      </c>
      <c r="H102" s="14" t="str">
        <f aca="false">IF(F102="","",IFERROR(F102-F101-(E102-E101),0))</f>
        <v/>
      </c>
    </row>
    <row r="103" customFormat="false" ht="15" hidden="false" customHeight="false" outlineLevel="0" collapsed="false">
      <c r="A103" s="13" t="str">
        <f aca="false">IF(Prices!A103="","",Prices!A103)</f>
        <v/>
      </c>
      <c r="B103" s="14" t="str">
        <f aca="false">IF(A103="","",Prices!C103)</f>
        <v/>
      </c>
      <c r="C103" s="15" t="str">
        <f aca="false">IF(A103="","",IFERROR(INDEX(FX!$B:$B,MATCH(A103,FX!$A:$A,1)),""))</f>
        <v/>
      </c>
      <c r="D103" s="14" t="str">
        <f aca="false">IF(A103="","",SUMIFS(Transactions!$D:$D,Transactions!$A:$A,"&lt;="&amp;A103,Transactions!$B:$B,Settings!$B$1))</f>
        <v/>
      </c>
      <c r="E103" s="14" t="str">
        <f aca="false">IF(A103="","",SUMIFS(Transactions!$C:$C,Transactions!$A:$A,"&lt;="&amp;A103,Transactions!$B:$B,Settings!$B$1)+SUMIFS(Transactions!$F:$F,Transactions!$A:$A,"&lt;="&amp;A103,Transactions!$B:$B,Settings!$B$1))</f>
        <v/>
      </c>
      <c r="F103" s="14" t="str">
        <f aca="false">IF(A103="","",IF(C103="","",D103*B103*C103))</f>
        <v/>
      </c>
      <c r="G103" s="14" t="str">
        <f aca="false">IF(F103="","",F103-E103)</f>
        <v/>
      </c>
      <c r="H103" s="14" t="str">
        <f aca="false">IF(F103="","",IFERROR(F103-F102-(E103-E102),0))</f>
        <v/>
      </c>
    </row>
    <row r="104" customFormat="false" ht="15" hidden="false" customHeight="false" outlineLevel="0" collapsed="false">
      <c r="A104" s="13" t="str">
        <f aca="false">IF(Prices!A104="","",Prices!A104)</f>
        <v/>
      </c>
      <c r="B104" s="14" t="str">
        <f aca="false">IF(A104="","",Prices!C104)</f>
        <v/>
      </c>
      <c r="C104" s="15" t="str">
        <f aca="false">IF(A104="","",IFERROR(INDEX(FX!$B:$B,MATCH(A104,FX!$A:$A,1)),""))</f>
        <v/>
      </c>
      <c r="D104" s="14" t="str">
        <f aca="false">IF(A104="","",SUMIFS(Transactions!$D:$D,Transactions!$A:$A,"&lt;="&amp;A104,Transactions!$B:$B,Settings!$B$1))</f>
        <v/>
      </c>
      <c r="E104" s="14" t="str">
        <f aca="false">IF(A104="","",SUMIFS(Transactions!$C:$C,Transactions!$A:$A,"&lt;="&amp;A104,Transactions!$B:$B,Settings!$B$1)+SUMIFS(Transactions!$F:$F,Transactions!$A:$A,"&lt;="&amp;A104,Transactions!$B:$B,Settings!$B$1))</f>
        <v/>
      </c>
      <c r="F104" s="14" t="str">
        <f aca="false">IF(A104="","",IF(C104="","",D104*B104*C104))</f>
        <v/>
      </c>
      <c r="G104" s="14" t="str">
        <f aca="false">IF(F104="","",F104-E104)</f>
        <v/>
      </c>
      <c r="H104" s="14" t="str">
        <f aca="false">IF(F104="","",IFERROR(F104-F103-(E104-E103),0))</f>
        <v/>
      </c>
    </row>
    <row r="105" customFormat="false" ht="15" hidden="false" customHeight="false" outlineLevel="0" collapsed="false">
      <c r="A105" s="13" t="str">
        <f aca="false">IF(Prices!A105="","",Prices!A105)</f>
        <v/>
      </c>
      <c r="B105" s="14" t="str">
        <f aca="false">IF(A105="","",Prices!C105)</f>
        <v/>
      </c>
      <c r="C105" s="15" t="str">
        <f aca="false">IF(A105="","",IFERROR(INDEX(FX!$B:$B,MATCH(A105,FX!$A:$A,1)),""))</f>
        <v/>
      </c>
      <c r="D105" s="14" t="str">
        <f aca="false">IF(A105="","",SUMIFS(Transactions!$D:$D,Transactions!$A:$A,"&lt;="&amp;A105,Transactions!$B:$B,Settings!$B$1))</f>
        <v/>
      </c>
      <c r="E105" s="14" t="str">
        <f aca="false">IF(A105="","",SUMIFS(Transactions!$C:$C,Transactions!$A:$A,"&lt;="&amp;A105,Transactions!$B:$B,Settings!$B$1)+SUMIFS(Transactions!$F:$F,Transactions!$A:$A,"&lt;="&amp;A105,Transactions!$B:$B,Settings!$B$1))</f>
        <v/>
      </c>
      <c r="F105" s="14" t="str">
        <f aca="false">IF(A105="","",IF(C105="","",D105*B105*C105))</f>
        <v/>
      </c>
      <c r="G105" s="14" t="str">
        <f aca="false">IF(F105="","",F105-E105)</f>
        <v/>
      </c>
      <c r="H105" s="14" t="str">
        <f aca="false">IF(F105="","",IFERROR(F105-F104-(E105-E104),0))</f>
        <v/>
      </c>
    </row>
    <row r="106" customFormat="false" ht="15" hidden="false" customHeight="false" outlineLevel="0" collapsed="false">
      <c r="A106" s="13" t="str">
        <f aca="false">IF(Prices!A106="","",Prices!A106)</f>
        <v/>
      </c>
      <c r="B106" s="14" t="str">
        <f aca="false">IF(A106="","",Prices!C106)</f>
        <v/>
      </c>
      <c r="C106" s="15" t="str">
        <f aca="false">IF(A106="","",IFERROR(INDEX(FX!$B:$B,MATCH(A106,FX!$A:$A,1)),""))</f>
        <v/>
      </c>
      <c r="D106" s="14" t="str">
        <f aca="false">IF(A106="","",SUMIFS(Transactions!$D:$D,Transactions!$A:$A,"&lt;="&amp;A106,Transactions!$B:$B,Settings!$B$1))</f>
        <v/>
      </c>
      <c r="E106" s="14" t="str">
        <f aca="false">IF(A106="","",SUMIFS(Transactions!$C:$C,Transactions!$A:$A,"&lt;="&amp;A106,Transactions!$B:$B,Settings!$B$1)+SUMIFS(Transactions!$F:$F,Transactions!$A:$A,"&lt;="&amp;A106,Transactions!$B:$B,Settings!$B$1))</f>
        <v/>
      </c>
      <c r="F106" s="14" t="str">
        <f aca="false">IF(A106="","",IF(C106="","",D106*B106*C106))</f>
        <v/>
      </c>
      <c r="G106" s="14" t="str">
        <f aca="false">IF(F106="","",F106-E106)</f>
        <v/>
      </c>
      <c r="H106" s="14" t="str">
        <f aca="false">IF(F106="","",IFERROR(F106-F105-(E106-E105),0))</f>
        <v/>
      </c>
    </row>
    <row r="107" customFormat="false" ht="15" hidden="false" customHeight="false" outlineLevel="0" collapsed="false">
      <c r="A107" s="13" t="str">
        <f aca="false">IF(Prices!A107="","",Prices!A107)</f>
        <v/>
      </c>
      <c r="B107" s="14" t="str">
        <f aca="false">IF(A107="","",Prices!C107)</f>
        <v/>
      </c>
      <c r="C107" s="15" t="str">
        <f aca="false">IF(A107="","",IFERROR(INDEX(FX!$B:$B,MATCH(A107,FX!$A:$A,1)),""))</f>
        <v/>
      </c>
      <c r="D107" s="14" t="str">
        <f aca="false">IF(A107="","",SUMIFS(Transactions!$D:$D,Transactions!$A:$A,"&lt;="&amp;A107,Transactions!$B:$B,Settings!$B$1))</f>
        <v/>
      </c>
      <c r="E107" s="14" t="str">
        <f aca="false">IF(A107="","",SUMIFS(Transactions!$C:$C,Transactions!$A:$A,"&lt;="&amp;A107,Transactions!$B:$B,Settings!$B$1)+SUMIFS(Transactions!$F:$F,Transactions!$A:$A,"&lt;="&amp;A107,Transactions!$B:$B,Settings!$B$1))</f>
        <v/>
      </c>
      <c r="F107" s="14" t="str">
        <f aca="false">IF(A107="","",IF(C107="","",D107*B107*C107))</f>
        <v/>
      </c>
      <c r="G107" s="14" t="str">
        <f aca="false">IF(F107="","",F107-E107)</f>
        <v/>
      </c>
      <c r="H107" s="14" t="str">
        <f aca="false">IF(F107="","",IFERROR(F107-F106-(E107-E106),0))</f>
        <v/>
      </c>
    </row>
    <row r="108" customFormat="false" ht="15" hidden="false" customHeight="false" outlineLevel="0" collapsed="false">
      <c r="A108" s="13" t="str">
        <f aca="false">IF(Prices!A108="","",Prices!A108)</f>
        <v/>
      </c>
      <c r="B108" s="14" t="str">
        <f aca="false">IF(A108="","",Prices!C108)</f>
        <v/>
      </c>
      <c r="C108" s="15" t="str">
        <f aca="false">IF(A108="","",IFERROR(INDEX(FX!$B:$B,MATCH(A108,FX!$A:$A,1)),""))</f>
        <v/>
      </c>
      <c r="D108" s="14" t="str">
        <f aca="false">IF(A108="","",SUMIFS(Transactions!$D:$D,Transactions!$A:$A,"&lt;="&amp;A108,Transactions!$B:$B,Settings!$B$1))</f>
        <v/>
      </c>
      <c r="E108" s="14" t="str">
        <f aca="false">IF(A108="","",SUMIFS(Transactions!$C:$C,Transactions!$A:$A,"&lt;="&amp;A108,Transactions!$B:$B,Settings!$B$1)+SUMIFS(Transactions!$F:$F,Transactions!$A:$A,"&lt;="&amp;A108,Transactions!$B:$B,Settings!$B$1))</f>
        <v/>
      </c>
      <c r="F108" s="14" t="str">
        <f aca="false">IF(A108="","",IF(C108="","",D108*B108*C108))</f>
        <v/>
      </c>
      <c r="G108" s="14" t="str">
        <f aca="false">IF(F108="","",F108-E108)</f>
        <v/>
      </c>
      <c r="H108" s="14" t="str">
        <f aca="false">IF(F108="","",IFERROR(F108-F107-(E108-E107),0))</f>
        <v/>
      </c>
    </row>
    <row r="109" customFormat="false" ht="15" hidden="false" customHeight="false" outlineLevel="0" collapsed="false">
      <c r="A109" s="13" t="str">
        <f aca="false">IF(Prices!A109="","",Prices!A109)</f>
        <v/>
      </c>
      <c r="B109" s="14" t="str">
        <f aca="false">IF(A109="","",Prices!C109)</f>
        <v/>
      </c>
      <c r="C109" s="15" t="str">
        <f aca="false">IF(A109="","",IFERROR(INDEX(FX!$B:$B,MATCH(A109,FX!$A:$A,1)),""))</f>
        <v/>
      </c>
      <c r="D109" s="14" t="str">
        <f aca="false">IF(A109="","",SUMIFS(Transactions!$D:$D,Transactions!$A:$A,"&lt;="&amp;A109,Transactions!$B:$B,Settings!$B$1))</f>
        <v/>
      </c>
      <c r="E109" s="14" t="str">
        <f aca="false">IF(A109="","",SUMIFS(Transactions!$C:$C,Transactions!$A:$A,"&lt;="&amp;A109,Transactions!$B:$B,Settings!$B$1)+SUMIFS(Transactions!$F:$F,Transactions!$A:$A,"&lt;="&amp;A109,Transactions!$B:$B,Settings!$B$1))</f>
        <v/>
      </c>
      <c r="F109" s="14" t="str">
        <f aca="false">IF(A109="","",IF(C109="","",D109*B109*C109))</f>
        <v/>
      </c>
      <c r="G109" s="14" t="str">
        <f aca="false">IF(F109="","",F109-E109)</f>
        <v/>
      </c>
      <c r="H109" s="14" t="str">
        <f aca="false">IF(F109="","",IFERROR(F109-F108-(E109-E108),0))</f>
        <v/>
      </c>
    </row>
    <row r="110" customFormat="false" ht="15" hidden="false" customHeight="false" outlineLevel="0" collapsed="false">
      <c r="A110" s="13" t="str">
        <f aca="false">IF(Prices!A110="","",Prices!A110)</f>
        <v/>
      </c>
      <c r="B110" s="14" t="str">
        <f aca="false">IF(A110="","",Prices!C110)</f>
        <v/>
      </c>
      <c r="C110" s="15" t="str">
        <f aca="false">IF(A110="","",IFERROR(INDEX(FX!$B:$B,MATCH(A110,FX!$A:$A,1)),""))</f>
        <v/>
      </c>
      <c r="D110" s="14" t="str">
        <f aca="false">IF(A110="","",SUMIFS(Transactions!$D:$D,Transactions!$A:$A,"&lt;="&amp;A110,Transactions!$B:$B,Settings!$B$1))</f>
        <v/>
      </c>
      <c r="E110" s="14" t="str">
        <f aca="false">IF(A110="","",SUMIFS(Transactions!$C:$C,Transactions!$A:$A,"&lt;="&amp;A110,Transactions!$B:$B,Settings!$B$1)+SUMIFS(Transactions!$F:$F,Transactions!$A:$A,"&lt;="&amp;A110,Transactions!$B:$B,Settings!$B$1))</f>
        <v/>
      </c>
      <c r="F110" s="14" t="str">
        <f aca="false">IF(A110="","",IF(C110="","",D110*B110*C110))</f>
        <v/>
      </c>
      <c r="G110" s="14" t="str">
        <f aca="false">IF(F110="","",F110-E110)</f>
        <v/>
      </c>
      <c r="H110" s="14" t="str">
        <f aca="false">IF(F110="","",IFERROR(F110-F109-(E110-E109),0))</f>
        <v/>
      </c>
    </row>
    <row r="111" customFormat="false" ht="15" hidden="false" customHeight="false" outlineLevel="0" collapsed="false">
      <c r="A111" s="13" t="str">
        <f aca="false">IF(Prices!A111="","",Prices!A111)</f>
        <v/>
      </c>
      <c r="B111" s="14" t="str">
        <f aca="false">IF(A111="","",Prices!C111)</f>
        <v/>
      </c>
      <c r="C111" s="15" t="str">
        <f aca="false">IF(A111="","",IFERROR(INDEX(FX!$B:$B,MATCH(A111,FX!$A:$A,1)),""))</f>
        <v/>
      </c>
      <c r="D111" s="14" t="str">
        <f aca="false">IF(A111="","",SUMIFS(Transactions!$D:$D,Transactions!$A:$A,"&lt;="&amp;A111,Transactions!$B:$B,Settings!$B$1))</f>
        <v/>
      </c>
      <c r="E111" s="14" t="str">
        <f aca="false">IF(A111="","",SUMIFS(Transactions!$C:$C,Transactions!$A:$A,"&lt;="&amp;A111,Transactions!$B:$B,Settings!$B$1)+SUMIFS(Transactions!$F:$F,Transactions!$A:$A,"&lt;="&amp;A111,Transactions!$B:$B,Settings!$B$1))</f>
        <v/>
      </c>
      <c r="F111" s="14" t="str">
        <f aca="false">IF(A111="","",IF(C111="","",D111*B111*C111))</f>
        <v/>
      </c>
      <c r="G111" s="14" t="str">
        <f aca="false">IF(F111="","",F111-E111)</f>
        <v/>
      </c>
      <c r="H111" s="14" t="str">
        <f aca="false">IF(F111="","",IFERROR(F111-F110-(E111-E110),0))</f>
        <v/>
      </c>
    </row>
    <row r="112" customFormat="false" ht="15" hidden="false" customHeight="false" outlineLevel="0" collapsed="false">
      <c r="A112" s="13" t="str">
        <f aca="false">IF(Prices!A112="","",Prices!A112)</f>
        <v/>
      </c>
      <c r="B112" s="14" t="str">
        <f aca="false">IF(A112="","",Prices!C112)</f>
        <v/>
      </c>
      <c r="C112" s="15" t="str">
        <f aca="false">IF(A112="","",IFERROR(INDEX(FX!$B:$B,MATCH(A112,FX!$A:$A,1)),""))</f>
        <v/>
      </c>
      <c r="D112" s="14" t="str">
        <f aca="false">IF(A112="","",SUMIFS(Transactions!$D:$D,Transactions!$A:$A,"&lt;="&amp;A112,Transactions!$B:$B,Settings!$B$1))</f>
        <v/>
      </c>
      <c r="E112" s="14" t="str">
        <f aca="false">IF(A112="","",SUMIFS(Transactions!$C:$C,Transactions!$A:$A,"&lt;="&amp;A112,Transactions!$B:$B,Settings!$B$1)+SUMIFS(Transactions!$F:$F,Transactions!$A:$A,"&lt;="&amp;A112,Transactions!$B:$B,Settings!$B$1))</f>
        <v/>
      </c>
      <c r="F112" s="14" t="str">
        <f aca="false">IF(A112="","",IF(C112="","",D112*B112*C112))</f>
        <v/>
      </c>
      <c r="G112" s="14" t="str">
        <f aca="false">IF(F112="","",F112-E112)</f>
        <v/>
      </c>
      <c r="H112" s="14" t="str">
        <f aca="false">IF(F112="","",IFERROR(F112-F111-(E112-E111),0))</f>
        <v/>
      </c>
    </row>
    <row r="113" customFormat="false" ht="15" hidden="false" customHeight="false" outlineLevel="0" collapsed="false">
      <c r="A113" s="13" t="str">
        <f aca="false">IF(Prices!A113="","",Prices!A113)</f>
        <v/>
      </c>
      <c r="B113" s="14" t="str">
        <f aca="false">IF(A113="","",Prices!C113)</f>
        <v/>
      </c>
      <c r="C113" s="15" t="str">
        <f aca="false">IF(A113="","",IFERROR(INDEX(FX!$B:$B,MATCH(A113,FX!$A:$A,1)),""))</f>
        <v/>
      </c>
      <c r="D113" s="14" t="str">
        <f aca="false">IF(A113="","",SUMIFS(Transactions!$D:$D,Transactions!$A:$A,"&lt;="&amp;A113,Transactions!$B:$B,Settings!$B$1))</f>
        <v/>
      </c>
      <c r="E113" s="14" t="str">
        <f aca="false">IF(A113="","",SUMIFS(Transactions!$C:$C,Transactions!$A:$A,"&lt;="&amp;A113,Transactions!$B:$B,Settings!$B$1)+SUMIFS(Transactions!$F:$F,Transactions!$A:$A,"&lt;="&amp;A113,Transactions!$B:$B,Settings!$B$1))</f>
        <v/>
      </c>
      <c r="F113" s="14" t="str">
        <f aca="false">IF(A113="","",IF(C113="","",D113*B113*C113))</f>
        <v/>
      </c>
      <c r="G113" s="14" t="str">
        <f aca="false">IF(F113="","",F113-E113)</f>
        <v/>
      </c>
      <c r="H113" s="14" t="str">
        <f aca="false">IF(F113="","",IFERROR(F113-F112-(E113-E112),0))</f>
        <v/>
      </c>
    </row>
    <row r="114" customFormat="false" ht="15" hidden="false" customHeight="false" outlineLevel="0" collapsed="false">
      <c r="A114" s="13" t="str">
        <f aca="false">IF(Prices!A114="","",Prices!A114)</f>
        <v/>
      </c>
      <c r="B114" s="14" t="str">
        <f aca="false">IF(A114="","",Prices!C114)</f>
        <v/>
      </c>
      <c r="C114" s="15" t="str">
        <f aca="false">IF(A114="","",IFERROR(INDEX(FX!$B:$B,MATCH(A114,FX!$A:$A,1)),""))</f>
        <v/>
      </c>
      <c r="D114" s="14" t="str">
        <f aca="false">IF(A114="","",SUMIFS(Transactions!$D:$D,Transactions!$A:$A,"&lt;="&amp;A114,Transactions!$B:$B,Settings!$B$1))</f>
        <v/>
      </c>
      <c r="E114" s="14" t="str">
        <f aca="false">IF(A114="","",SUMIFS(Transactions!$C:$C,Transactions!$A:$A,"&lt;="&amp;A114,Transactions!$B:$B,Settings!$B$1)+SUMIFS(Transactions!$F:$F,Transactions!$A:$A,"&lt;="&amp;A114,Transactions!$B:$B,Settings!$B$1))</f>
        <v/>
      </c>
      <c r="F114" s="14" t="str">
        <f aca="false">IF(A114="","",IF(C114="","",D114*B114*C114))</f>
        <v/>
      </c>
      <c r="G114" s="14" t="str">
        <f aca="false">IF(F114="","",F114-E114)</f>
        <v/>
      </c>
      <c r="H114" s="14" t="str">
        <f aca="false">IF(F114="","",IFERROR(F114-F113-(E114-E113),0))</f>
        <v/>
      </c>
    </row>
    <row r="115" customFormat="false" ht="15" hidden="false" customHeight="false" outlineLevel="0" collapsed="false">
      <c r="A115" s="13" t="str">
        <f aca="false">IF(Prices!A115="","",Prices!A115)</f>
        <v/>
      </c>
      <c r="B115" s="14" t="str">
        <f aca="false">IF(A115="","",Prices!C115)</f>
        <v/>
      </c>
      <c r="C115" s="15" t="str">
        <f aca="false">IF(A115="","",IFERROR(INDEX(FX!$B:$B,MATCH(A115,FX!$A:$A,1)),""))</f>
        <v/>
      </c>
      <c r="D115" s="14" t="str">
        <f aca="false">IF(A115="","",SUMIFS(Transactions!$D:$D,Transactions!$A:$A,"&lt;="&amp;A115,Transactions!$B:$B,Settings!$B$1))</f>
        <v/>
      </c>
      <c r="E115" s="14" t="str">
        <f aca="false">IF(A115="","",SUMIFS(Transactions!$C:$C,Transactions!$A:$A,"&lt;="&amp;A115,Transactions!$B:$B,Settings!$B$1)+SUMIFS(Transactions!$F:$F,Transactions!$A:$A,"&lt;="&amp;A115,Transactions!$B:$B,Settings!$B$1))</f>
        <v/>
      </c>
      <c r="F115" s="14" t="str">
        <f aca="false">IF(A115="","",IF(C115="","",D115*B115*C115))</f>
        <v/>
      </c>
      <c r="G115" s="14" t="str">
        <f aca="false">IF(F115="","",F115-E115)</f>
        <v/>
      </c>
      <c r="H115" s="14" t="str">
        <f aca="false">IF(F115="","",IFERROR(F115-F114-(E115-E114),0))</f>
        <v/>
      </c>
    </row>
    <row r="116" customFormat="false" ht="15" hidden="false" customHeight="false" outlineLevel="0" collapsed="false">
      <c r="A116" s="13" t="str">
        <f aca="false">IF(Prices!A116="","",Prices!A116)</f>
        <v/>
      </c>
      <c r="B116" s="14" t="str">
        <f aca="false">IF(A116="","",Prices!C116)</f>
        <v/>
      </c>
      <c r="C116" s="15" t="str">
        <f aca="false">IF(A116="","",IFERROR(INDEX(FX!$B:$B,MATCH(A116,FX!$A:$A,1)),""))</f>
        <v/>
      </c>
      <c r="D116" s="14" t="str">
        <f aca="false">IF(A116="","",SUMIFS(Transactions!$D:$D,Transactions!$A:$A,"&lt;="&amp;A116,Transactions!$B:$B,Settings!$B$1))</f>
        <v/>
      </c>
      <c r="E116" s="14" t="str">
        <f aca="false">IF(A116="","",SUMIFS(Transactions!$C:$C,Transactions!$A:$A,"&lt;="&amp;A116,Transactions!$B:$B,Settings!$B$1)+SUMIFS(Transactions!$F:$F,Transactions!$A:$A,"&lt;="&amp;A116,Transactions!$B:$B,Settings!$B$1))</f>
        <v/>
      </c>
      <c r="F116" s="14" t="str">
        <f aca="false">IF(A116="","",IF(C116="","",D116*B116*C116))</f>
        <v/>
      </c>
      <c r="G116" s="14" t="str">
        <f aca="false">IF(F116="","",F116-E116)</f>
        <v/>
      </c>
      <c r="H116" s="14" t="str">
        <f aca="false">IF(F116="","",IFERROR(F116-F115-(E116-E115),0))</f>
        <v/>
      </c>
    </row>
    <row r="117" customFormat="false" ht="15" hidden="false" customHeight="false" outlineLevel="0" collapsed="false">
      <c r="A117" s="13" t="str">
        <f aca="false">IF(Prices!A117="","",Prices!A117)</f>
        <v/>
      </c>
      <c r="B117" s="14" t="str">
        <f aca="false">IF(A117="","",Prices!C117)</f>
        <v/>
      </c>
      <c r="C117" s="15" t="str">
        <f aca="false">IF(A117="","",IFERROR(INDEX(FX!$B:$B,MATCH(A117,FX!$A:$A,1)),""))</f>
        <v/>
      </c>
      <c r="D117" s="14" t="str">
        <f aca="false">IF(A117="","",SUMIFS(Transactions!$D:$D,Transactions!$A:$A,"&lt;="&amp;A117,Transactions!$B:$B,Settings!$B$1))</f>
        <v/>
      </c>
      <c r="E117" s="14" t="str">
        <f aca="false">IF(A117="","",SUMIFS(Transactions!$C:$C,Transactions!$A:$A,"&lt;="&amp;A117,Transactions!$B:$B,Settings!$B$1)+SUMIFS(Transactions!$F:$F,Transactions!$A:$A,"&lt;="&amp;A117,Transactions!$B:$B,Settings!$B$1))</f>
        <v/>
      </c>
      <c r="F117" s="14" t="str">
        <f aca="false">IF(A117="","",IF(C117="","",D117*B117*C117))</f>
        <v/>
      </c>
      <c r="G117" s="14" t="str">
        <f aca="false">IF(F117="","",F117-E117)</f>
        <v/>
      </c>
      <c r="H117" s="14" t="str">
        <f aca="false">IF(F117="","",IFERROR(F117-F116-(E117-E116),0))</f>
        <v/>
      </c>
    </row>
    <row r="118" customFormat="false" ht="15" hidden="false" customHeight="false" outlineLevel="0" collapsed="false">
      <c r="A118" s="13" t="str">
        <f aca="false">IF(Prices!A118="","",Prices!A118)</f>
        <v/>
      </c>
      <c r="B118" s="14" t="str">
        <f aca="false">IF(A118="","",Prices!C118)</f>
        <v/>
      </c>
      <c r="C118" s="15" t="str">
        <f aca="false">IF(A118="","",IFERROR(INDEX(FX!$B:$B,MATCH(A118,FX!$A:$A,1)),""))</f>
        <v/>
      </c>
      <c r="D118" s="14" t="str">
        <f aca="false">IF(A118="","",SUMIFS(Transactions!$D:$D,Transactions!$A:$A,"&lt;="&amp;A118,Transactions!$B:$B,Settings!$B$1))</f>
        <v/>
      </c>
      <c r="E118" s="14" t="str">
        <f aca="false">IF(A118="","",SUMIFS(Transactions!$C:$C,Transactions!$A:$A,"&lt;="&amp;A118,Transactions!$B:$B,Settings!$B$1)+SUMIFS(Transactions!$F:$F,Transactions!$A:$A,"&lt;="&amp;A118,Transactions!$B:$B,Settings!$B$1))</f>
        <v/>
      </c>
      <c r="F118" s="14" t="str">
        <f aca="false">IF(A118="","",IF(C118="","",D118*B118*C118))</f>
        <v/>
      </c>
      <c r="G118" s="14" t="str">
        <f aca="false">IF(F118="","",F118-E118)</f>
        <v/>
      </c>
      <c r="H118" s="14" t="str">
        <f aca="false">IF(F118="","",IFERROR(F118-F117-(E118-E117),0))</f>
        <v/>
      </c>
    </row>
    <row r="119" customFormat="false" ht="15" hidden="false" customHeight="false" outlineLevel="0" collapsed="false">
      <c r="A119" s="13" t="str">
        <f aca="false">IF(Prices!A119="","",Prices!A119)</f>
        <v/>
      </c>
      <c r="B119" s="14" t="str">
        <f aca="false">IF(A119="","",Prices!C119)</f>
        <v/>
      </c>
      <c r="C119" s="15" t="str">
        <f aca="false">IF(A119="","",IFERROR(INDEX(FX!$B:$B,MATCH(A119,FX!$A:$A,1)),""))</f>
        <v/>
      </c>
      <c r="D119" s="14" t="str">
        <f aca="false">IF(A119="","",SUMIFS(Transactions!$D:$D,Transactions!$A:$A,"&lt;="&amp;A119,Transactions!$B:$B,Settings!$B$1))</f>
        <v/>
      </c>
      <c r="E119" s="14" t="str">
        <f aca="false">IF(A119="","",SUMIFS(Transactions!$C:$C,Transactions!$A:$A,"&lt;="&amp;A119,Transactions!$B:$B,Settings!$B$1)+SUMIFS(Transactions!$F:$F,Transactions!$A:$A,"&lt;="&amp;A119,Transactions!$B:$B,Settings!$B$1))</f>
        <v/>
      </c>
      <c r="F119" s="14" t="str">
        <f aca="false">IF(A119="","",IF(C119="","",D119*B119*C119))</f>
        <v/>
      </c>
      <c r="G119" s="14" t="str">
        <f aca="false">IF(F119="","",F119-E119)</f>
        <v/>
      </c>
      <c r="H119" s="14" t="str">
        <f aca="false">IF(F119="","",IFERROR(F119-F118-(E119-E118),0))</f>
        <v/>
      </c>
    </row>
    <row r="120" customFormat="false" ht="15" hidden="false" customHeight="false" outlineLevel="0" collapsed="false">
      <c r="A120" s="13" t="str">
        <f aca="false">IF(Prices!A120="","",Prices!A120)</f>
        <v/>
      </c>
      <c r="B120" s="14" t="str">
        <f aca="false">IF(A120="","",Prices!C120)</f>
        <v/>
      </c>
      <c r="C120" s="15" t="str">
        <f aca="false">IF(A120="","",IFERROR(INDEX(FX!$B:$B,MATCH(A120,FX!$A:$A,1)),""))</f>
        <v/>
      </c>
      <c r="D120" s="14" t="str">
        <f aca="false">IF(A120="","",SUMIFS(Transactions!$D:$D,Transactions!$A:$A,"&lt;="&amp;A120,Transactions!$B:$B,Settings!$B$1))</f>
        <v/>
      </c>
      <c r="E120" s="14" t="str">
        <f aca="false">IF(A120="","",SUMIFS(Transactions!$C:$C,Transactions!$A:$A,"&lt;="&amp;A120,Transactions!$B:$B,Settings!$B$1)+SUMIFS(Transactions!$F:$F,Transactions!$A:$A,"&lt;="&amp;A120,Transactions!$B:$B,Settings!$B$1))</f>
        <v/>
      </c>
      <c r="F120" s="14" t="str">
        <f aca="false">IF(A120="","",IF(C120="","",D120*B120*C120))</f>
        <v/>
      </c>
      <c r="G120" s="14" t="str">
        <f aca="false">IF(F120="","",F120-E120)</f>
        <v/>
      </c>
      <c r="H120" s="14" t="str">
        <f aca="false">IF(F120="","",IFERROR(F120-F119-(E120-E119),0))</f>
        <v/>
      </c>
    </row>
    <row r="121" customFormat="false" ht="15" hidden="false" customHeight="false" outlineLevel="0" collapsed="false">
      <c r="A121" s="13" t="str">
        <f aca="false">IF(Prices!A121="","",Prices!A121)</f>
        <v/>
      </c>
      <c r="B121" s="14" t="str">
        <f aca="false">IF(A121="","",Prices!C121)</f>
        <v/>
      </c>
      <c r="C121" s="15" t="str">
        <f aca="false">IF(A121="","",IFERROR(INDEX(FX!$B:$B,MATCH(A121,FX!$A:$A,1)),""))</f>
        <v/>
      </c>
      <c r="D121" s="14" t="str">
        <f aca="false">IF(A121="","",SUMIFS(Transactions!$D:$D,Transactions!$A:$A,"&lt;="&amp;A121,Transactions!$B:$B,Settings!$B$1))</f>
        <v/>
      </c>
      <c r="E121" s="14" t="str">
        <f aca="false">IF(A121="","",SUMIFS(Transactions!$C:$C,Transactions!$A:$A,"&lt;="&amp;A121,Transactions!$B:$B,Settings!$B$1)+SUMIFS(Transactions!$F:$F,Transactions!$A:$A,"&lt;="&amp;A121,Transactions!$B:$B,Settings!$B$1))</f>
        <v/>
      </c>
      <c r="F121" s="14" t="str">
        <f aca="false">IF(A121="","",IF(C121="","",D121*B121*C121))</f>
        <v/>
      </c>
      <c r="G121" s="14" t="str">
        <f aca="false">IF(F121="","",F121-E121)</f>
        <v/>
      </c>
      <c r="H121" s="14" t="str">
        <f aca="false">IF(F121="","",IFERROR(F121-F120-(E121-E120),0))</f>
        <v/>
      </c>
    </row>
    <row r="122" customFormat="false" ht="15" hidden="false" customHeight="false" outlineLevel="0" collapsed="false">
      <c r="A122" s="13" t="str">
        <f aca="false">IF(Prices!A122="","",Prices!A122)</f>
        <v/>
      </c>
      <c r="B122" s="14" t="str">
        <f aca="false">IF(A122="","",Prices!C122)</f>
        <v/>
      </c>
      <c r="C122" s="15" t="str">
        <f aca="false">IF(A122="","",IFERROR(INDEX(FX!$B:$B,MATCH(A122,FX!$A:$A,1)),""))</f>
        <v/>
      </c>
      <c r="D122" s="14" t="str">
        <f aca="false">IF(A122="","",SUMIFS(Transactions!$D:$D,Transactions!$A:$A,"&lt;="&amp;A122,Transactions!$B:$B,Settings!$B$1))</f>
        <v/>
      </c>
      <c r="E122" s="14" t="str">
        <f aca="false">IF(A122="","",SUMIFS(Transactions!$C:$C,Transactions!$A:$A,"&lt;="&amp;A122,Transactions!$B:$B,Settings!$B$1)+SUMIFS(Transactions!$F:$F,Transactions!$A:$A,"&lt;="&amp;A122,Transactions!$B:$B,Settings!$B$1))</f>
        <v/>
      </c>
      <c r="F122" s="14" t="str">
        <f aca="false">IF(A122="","",IF(C122="","",D122*B122*C122))</f>
        <v/>
      </c>
      <c r="G122" s="14" t="str">
        <f aca="false">IF(F122="","",F122-E122)</f>
        <v/>
      </c>
      <c r="H122" s="14" t="str">
        <f aca="false">IF(F122="","",IFERROR(F122-F121-(E122-E121),0))</f>
        <v/>
      </c>
    </row>
    <row r="123" customFormat="false" ht="15" hidden="false" customHeight="false" outlineLevel="0" collapsed="false">
      <c r="A123" s="13" t="str">
        <f aca="false">IF(Prices!A123="","",Prices!A123)</f>
        <v/>
      </c>
      <c r="B123" s="14" t="str">
        <f aca="false">IF(A123="","",Prices!C123)</f>
        <v/>
      </c>
      <c r="C123" s="15" t="str">
        <f aca="false">IF(A123="","",IFERROR(INDEX(FX!$B:$B,MATCH(A123,FX!$A:$A,1)),""))</f>
        <v/>
      </c>
      <c r="D123" s="14" t="str">
        <f aca="false">IF(A123="","",SUMIFS(Transactions!$D:$D,Transactions!$A:$A,"&lt;="&amp;A123,Transactions!$B:$B,Settings!$B$1))</f>
        <v/>
      </c>
      <c r="E123" s="14" t="str">
        <f aca="false">IF(A123="","",SUMIFS(Transactions!$C:$C,Transactions!$A:$A,"&lt;="&amp;A123,Transactions!$B:$B,Settings!$B$1)+SUMIFS(Transactions!$F:$F,Transactions!$A:$A,"&lt;="&amp;A123,Transactions!$B:$B,Settings!$B$1))</f>
        <v/>
      </c>
      <c r="F123" s="14" t="str">
        <f aca="false">IF(A123="","",IF(C123="","",D123*B123*C123))</f>
        <v/>
      </c>
      <c r="G123" s="14" t="str">
        <f aca="false">IF(F123="","",F123-E123)</f>
        <v/>
      </c>
      <c r="H123" s="14" t="str">
        <f aca="false">IF(F123="","",IFERROR(F123-F122-(E123-E122),0))</f>
        <v/>
      </c>
    </row>
    <row r="124" customFormat="false" ht="15" hidden="false" customHeight="false" outlineLevel="0" collapsed="false">
      <c r="A124" s="13" t="str">
        <f aca="false">IF(Prices!A124="","",Prices!A124)</f>
        <v/>
      </c>
      <c r="B124" s="14" t="str">
        <f aca="false">IF(A124="","",Prices!C124)</f>
        <v/>
      </c>
      <c r="C124" s="15" t="str">
        <f aca="false">IF(A124="","",IFERROR(INDEX(FX!$B:$B,MATCH(A124,FX!$A:$A,1)),""))</f>
        <v/>
      </c>
      <c r="D124" s="14" t="str">
        <f aca="false">IF(A124="","",SUMIFS(Transactions!$D:$D,Transactions!$A:$A,"&lt;="&amp;A124,Transactions!$B:$B,Settings!$B$1))</f>
        <v/>
      </c>
      <c r="E124" s="14" t="str">
        <f aca="false">IF(A124="","",SUMIFS(Transactions!$C:$C,Transactions!$A:$A,"&lt;="&amp;A124,Transactions!$B:$B,Settings!$B$1)+SUMIFS(Transactions!$F:$F,Transactions!$A:$A,"&lt;="&amp;A124,Transactions!$B:$B,Settings!$B$1))</f>
        <v/>
      </c>
      <c r="F124" s="14" t="str">
        <f aca="false">IF(A124="","",IF(C124="","",D124*B124*C124))</f>
        <v/>
      </c>
      <c r="G124" s="14" t="str">
        <f aca="false">IF(F124="","",F124-E124)</f>
        <v/>
      </c>
      <c r="H124" s="14" t="str">
        <f aca="false">IF(F124="","",IFERROR(F124-F123-(E124-E123),0))</f>
        <v/>
      </c>
    </row>
    <row r="125" customFormat="false" ht="15" hidden="false" customHeight="false" outlineLevel="0" collapsed="false">
      <c r="A125" s="13" t="str">
        <f aca="false">IF(Prices!A125="","",Prices!A125)</f>
        <v/>
      </c>
      <c r="B125" s="14" t="str">
        <f aca="false">IF(A125="","",Prices!C125)</f>
        <v/>
      </c>
      <c r="C125" s="15" t="str">
        <f aca="false">IF(A125="","",IFERROR(INDEX(FX!$B:$B,MATCH(A125,FX!$A:$A,1)),""))</f>
        <v/>
      </c>
      <c r="D125" s="14" t="str">
        <f aca="false">IF(A125="","",SUMIFS(Transactions!$D:$D,Transactions!$A:$A,"&lt;="&amp;A125,Transactions!$B:$B,Settings!$B$1))</f>
        <v/>
      </c>
      <c r="E125" s="14" t="str">
        <f aca="false">IF(A125="","",SUMIFS(Transactions!$C:$C,Transactions!$A:$A,"&lt;="&amp;A125,Transactions!$B:$B,Settings!$B$1)+SUMIFS(Transactions!$F:$F,Transactions!$A:$A,"&lt;="&amp;A125,Transactions!$B:$B,Settings!$B$1))</f>
        <v/>
      </c>
      <c r="F125" s="14" t="str">
        <f aca="false">IF(A125="","",IF(C125="","",D125*B125*C125))</f>
        <v/>
      </c>
      <c r="G125" s="14" t="str">
        <f aca="false">IF(F125="","",F125-E125)</f>
        <v/>
      </c>
      <c r="H125" s="14" t="str">
        <f aca="false">IF(F125="","",IFERROR(F125-F124-(E125-E124),0))</f>
        <v/>
      </c>
    </row>
    <row r="126" customFormat="false" ht="15" hidden="false" customHeight="false" outlineLevel="0" collapsed="false">
      <c r="A126" s="13" t="str">
        <f aca="false">IF(Prices!A126="","",Prices!A126)</f>
        <v/>
      </c>
      <c r="B126" s="14" t="str">
        <f aca="false">IF(A126="","",Prices!C126)</f>
        <v/>
      </c>
      <c r="C126" s="15" t="str">
        <f aca="false">IF(A126="","",IFERROR(INDEX(FX!$B:$B,MATCH(A126,FX!$A:$A,1)),""))</f>
        <v/>
      </c>
      <c r="D126" s="14" t="str">
        <f aca="false">IF(A126="","",SUMIFS(Transactions!$D:$D,Transactions!$A:$A,"&lt;="&amp;A126,Transactions!$B:$B,Settings!$B$1))</f>
        <v/>
      </c>
      <c r="E126" s="14" t="str">
        <f aca="false">IF(A126="","",SUMIFS(Transactions!$C:$C,Transactions!$A:$A,"&lt;="&amp;A126,Transactions!$B:$B,Settings!$B$1)+SUMIFS(Transactions!$F:$F,Transactions!$A:$A,"&lt;="&amp;A126,Transactions!$B:$B,Settings!$B$1))</f>
        <v/>
      </c>
      <c r="F126" s="14" t="str">
        <f aca="false">IF(A126="","",IF(C126="","",D126*B126*C126))</f>
        <v/>
      </c>
      <c r="G126" s="14" t="str">
        <f aca="false">IF(F126="","",F126-E126)</f>
        <v/>
      </c>
      <c r="H126" s="14" t="str">
        <f aca="false">IF(F126="","",IFERROR(F126-F125-(E126-E125),0))</f>
        <v/>
      </c>
    </row>
    <row r="127" customFormat="false" ht="15" hidden="false" customHeight="false" outlineLevel="0" collapsed="false">
      <c r="A127" s="13" t="str">
        <f aca="false">IF(Prices!A127="","",Prices!A127)</f>
        <v/>
      </c>
      <c r="B127" s="14" t="str">
        <f aca="false">IF(A127="","",Prices!C127)</f>
        <v/>
      </c>
      <c r="C127" s="15" t="str">
        <f aca="false">IF(A127="","",IFERROR(INDEX(FX!$B:$B,MATCH(A127,FX!$A:$A,1)),""))</f>
        <v/>
      </c>
      <c r="D127" s="14" t="str">
        <f aca="false">IF(A127="","",SUMIFS(Transactions!$D:$D,Transactions!$A:$A,"&lt;="&amp;A127,Transactions!$B:$B,Settings!$B$1))</f>
        <v/>
      </c>
      <c r="E127" s="14" t="str">
        <f aca="false">IF(A127="","",SUMIFS(Transactions!$C:$C,Transactions!$A:$A,"&lt;="&amp;A127,Transactions!$B:$B,Settings!$B$1)+SUMIFS(Transactions!$F:$F,Transactions!$A:$A,"&lt;="&amp;A127,Transactions!$B:$B,Settings!$B$1))</f>
        <v/>
      </c>
      <c r="F127" s="14" t="str">
        <f aca="false">IF(A127="","",IF(C127="","",D127*B127*C127))</f>
        <v/>
      </c>
      <c r="G127" s="14" t="str">
        <f aca="false">IF(F127="","",F127-E127)</f>
        <v/>
      </c>
      <c r="H127" s="14" t="str">
        <f aca="false">IF(F127="","",IFERROR(F127-F126-(E127-E126),0))</f>
        <v/>
      </c>
    </row>
    <row r="128" customFormat="false" ht="15" hidden="false" customHeight="false" outlineLevel="0" collapsed="false">
      <c r="A128" s="13" t="str">
        <f aca="false">IF(Prices!A128="","",Prices!A128)</f>
        <v/>
      </c>
      <c r="B128" s="14" t="str">
        <f aca="false">IF(A128="","",Prices!C128)</f>
        <v/>
      </c>
      <c r="C128" s="15" t="str">
        <f aca="false">IF(A128="","",IFERROR(INDEX(FX!$B:$B,MATCH(A128,FX!$A:$A,1)),""))</f>
        <v/>
      </c>
      <c r="D128" s="14" t="str">
        <f aca="false">IF(A128="","",SUMIFS(Transactions!$D:$D,Transactions!$A:$A,"&lt;="&amp;A128,Transactions!$B:$B,Settings!$B$1))</f>
        <v/>
      </c>
      <c r="E128" s="14" t="str">
        <f aca="false">IF(A128="","",SUMIFS(Transactions!$C:$C,Transactions!$A:$A,"&lt;="&amp;A128,Transactions!$B:$B,Settings!$B$1)+SUMIFS(Transactions!$F:$F,Transactions!$A:$A,"&lt;="&amp;A128,Transactions!$B:$B,Settings!$B$1))</f>
        <v/>
      </c>
      <c r="F128" s="14" t="str">
        <f aca="false">IF(A128="","",IF(C128="","",D128*B128*C128))</f>
        <v/>
      </c>
      <c r="G128" s="14" t="str">
        <f aca="false">IF(F128="","",F128-E128)</f>
        <v/>
      </c>
      <c r="H128" s="14" t="str">
        <f aca="false">IF(F128="","",IFERROR(F128-F127-(E128-E127),0))</f>
        <v/>
      </c>
    </row>
    <row r="129" customFormat="false" ht="15" hidden="false" customHeight="false" outlineLevel="0" collapsed="false">
      <c r="A129" s="13" t="str">
        <f aca="false">IF(Prices!A129="","",Prices!A129)</f>
        <v/>
      </c>
      <c r="B129" s="14" t="str">
        <f aca="false">IF(A129="","",Prices!C129)</f>
        <v/>
      </c>
      <c r="C129" s="15" t="str">
        <f aca="false">IF(A129="","",IFERROR(INDEX(FX!$B:$B,MATCH(A129,FX!$A:$A,1)),""))</f>
        <v/>
      </c>
      <c r="D129" s="14" t="str">
        <f aca="false">IF(A129="","",SUMIFS(Transactions!$D:$D,Transactions!$A:$A,"&lt;="&amp;A129,Transactions!$B:$B,Settings!$B$1))</f>
        <v/>
      </c>
      <c r="E129" s="14" t="str">
        <f aca="false">IF(A129="","",SUMIFS(Transactions!$C:$C,Transactions!$A:$A,"&lt;="&amp;A129,Transactions!$B:$B,Settings!$B$1)+SUMIFS(Transactions!$F:$F,Transactions!$A:$A,"&lt;="&amp;A129,Transactions!$B:$B,Settings!$B$1))</f>
        <v/>
      </c>
      <c r="F129" s="14" t="str">
        <f aca="false">IF(A129="","",IF(C129="","",D129*B129*C129))</f>
        <v/>
      </c>
      <c r="G129" s="14" t="str">
        <f aca="false">IF(F129="","",F129-E129)</f>
        <v/>
      </c>
      <c r="H129" s="14" t="str">
        <f aca="false">IF(F129="","",IFERROR(F129-F128-(E129-E128),0))</f>
        <v/>
      </c>
    </row>
    <row r="130" customFormat="false" ht="15" hidden="false" customHeight="false" outlineLevel="0" collapsed="false">
      <c r="A130" s="13" t="str">
        <f aca="false">IF(Prices!A130="","",Prices!A130)</f>
        <v/>
      </c>
      <c r="B130" s="14" t="str">
        <f aca="false">IF(A130="","",Prices!C130)</f>
        <v/>
      </c>
      <c r="C130" s="15" t="str">
        <f aca="false">IF(A130="","",IFERROR(INDEX(FX!$B:$B,MATCH(A130,FX!$A:$A,1)),""))</f>
        <v/>
      </c>
      <c r="D130" s="14" t="str">
        <f aca="false">IF(A130="","",SUMIFS(Transactions!$D:$D,Transactions!$A:$A,"&lt;="&amp;A130,Transactions!$B:$B,Settings!$B$1))</f>
        <v/>
      </c>
      <c r="E130" s="14" t="str">
        <f aca="false">IF(A130="","",SUMIFS(Transactions!$C:$C,Transactions!$A:$A,"&lt;="&amp;A130,Transactions!$B:$B,Settings!$B$1)+SUMIFS(Transactions!$F:$F,Transactions!$A:$A,"&lt;="&amp;A130,Transactions!$B:$B,Settings!$B$1))</f>
        <v/>
      </c>
      <c r="F130" s="14" t="str">
        <f aca="false">IF(A130="","",IF(C130="","",D130*B130*C130))</f>
        <v/>
      </c>
      <c r="G130" s="14" t="str">
        <f aca="false">IF(F130="","",F130-E130)</f>
        <v/>
      </c>
      <c r="H130" s="14" t="str">
        <f aca="false">IF(F130="","",IFERROR(F130-F129-(E130-E129),0))</f>
        <v/>
      </c>
    </row>
    <row r="131" customFormat="false" ht="15" hidden="false" customHeight="false" outlineLevel="0" collapsed="false">
      <c r="A131" s="13" t="str">
        <f aca="false">IF(Prices!A131="","",Prices!A131)</f>
        <v/>
      </c>
      <c r="B131" s="14" t="str">
        <f aca="false">IF(A131="","",Prices!C131)</f>
        <v/>
      </c>
      <c r="C131" s="15" t="str">
        <f aca="false">IF(A131="","",IFERROR(INDEX(FX!$B:$B,MATCH(A131,FX!$A:$A,1)),""))</f>
        <v/>
      </c>
      <c r="D131" s="14" t="str">
        <f aca="false">IF(A131="","",SUMIFS(Transactions!$D:$D,Transactions!$A:$A,"&lt;="&amp;A131,Transactions!$B:$B,Settings!$B$1))</f>
        <v/>
      </c>
      <c r="E131" s="14" t="str">
        <f aca="false">IF(A131="","",SUMIFS(Transactions!$C:$C,Transactions!$A:$A,"&lt;="&amp;A131,Transactions!$B:$B,Settings!$B$1)+SUMIFS(Transactions!$F:$F,Transactions!$A:$A,"&lt;="&amp;A131,Transactions!$B:$B,Settings!$B$1))</f>
        <v/>
      </c>
      <c r="F131" s="14" t="str">
        <f aca="false">IF(A131="","",IF(C131="","",D131*B131*C131))</f>
        <v/>
      </c>
      <c r="G131" s="14" t="str">
        <f aca="false">IF(F131="","",F131-E131)</f>
        <v/>
      </c>
      <c r="H131" s="14" t="str">
        <f aca="false">IF(F131="","",IFERROR(F131-F130-(E131-E130),0))</f>
        <v/>
      </c>
    </row>
    <row r="132" customFormat="false" ht="15" hidden="false" customHeight="false" outlineLevel="0" collapsed="false">
      <c r="A132" s="13" t="str">
        <f aca="false">IF(Prices!A132="","",Prices!A132)</f>
        <v/>
      </c>
      <c r="B132" s="14" t="str">
        <f aca="false">IF(A132="","",Prices!C132)</f>
        <v/>
      </c>
      <c r="C132" s="15" t="str">
        <f aca="false">IF(A132="","",IFERROR(INDEX(FX!$B:$B,MATCH(A132,FX!$A:$A,1)),""))</f>
        <v/>
      </c>
      <c r="D132" s="14" t="str">
        <f aca="false">IF(A132="","",SUMIFS(Transactions!$D:$D,Transactions!$A:$A,"&lt;="&amp;A132,Transactions!$B:$B,Settings!$B$1))</f>
        <v/>
      </c>
      <c r="E132" s="14" t="str">
        <f aca="false">IF(A132="","",SUMIFS(Transactions!$C:$C,Transactions!$A:$A,"&lt;="&amp;A132,Transactions!$B:$B,Settings!$B$1)+SUMIFS(Transactions!$F:$F,Transactions!$A:$A,"&lt;="&amp;A132,Transactions!$B:$B,Settings!$B$1))</f>
        <v/>
      </c>
      <c r="F132" s="14" t="str">
        <f aca="false">IF(A132="","",IF(C132="","",D132*B132*C132))</f>
        <v/>
      </c>
      <c r="G132" s="14" t="str">
        <f aca="false">IF(F132="","",F132-E132)</f>
        <v/>
      </c>
      <c r="H132" s="14" t="str">
        <f aca="false">IF(F132="","",IFERROR(F132-F131-(E132-E131),0))</f>
        <v/>
      </c>
    </row>
    <row r="133" customFormat="false" ht="15" hidden="false" customHeight="false" outlineLevel="0" collapsed="false">
      <c r="A133" s="13" t="str">
        <f aca="false">IF(Prices!A133="","",Prices!A133)</f>
        <v/>
      </c>
      <c r="B133" s="14" t="str">
        <f aca="false">IF(A133="","",Prices!C133)</f>
        <v/>
      </c>
      <c r="C133" s="15" t="str">
        <f aca="false">IF(A133="","",IFERROR(INDEX(FX!$B:$B,MATCH(A133,FX!$A:$A,1)),""))</f>
        <v/>
      </c>
      <c r="D133" s="14" t="str">
        <f aca="false">IF(A133="","",SUMIFS(Transactions!$D:$D,Transactions!$A:$A,"&lt;="&amp;A133,Transactions!$B:$B,Settings!$B$1))</f>
        <v/>
      </c>
      <c r="E133" s="14" t="str">
        <f aca="false">IF(A133="","",SUMIFS(Transactions!$C:$C,Transactions!$A:$A,"&lt;="&amp;A133,Transactions!$B:$B,Settings!$B$1)+SUMIFS(Transactions!$F:$F,Transactions!$A:$A,"&lt;="&amp;A133,Transactions!$B:$B,Settings!$B$1))</f>
        <v/>
      </c>
      <c r="F133" s="14" t="str">
        <f aca="false">IF(A133="","",IF(C133="","",D133*B133*C133))</f>
        <v/>
      </c>
      <c r="G133" s="14" t="str">
        <f aca="false">IF(F133="","",F133-E133)</f>
        <v/>
      </c>
      <c r="H133" s="14" t="str">
        <f aca="false">IF(F133="","",IFERROR(F133-F132-(E133-E132),0))</f>
        <v/>
      </c>
    </row>
    <row r="134" customFormat="false" ht="15" hidden="false" customHeight="false" outlineLevel="0" collapsed="false">
      <c r="A134" s="13" t="str">
        <f aca="false">IF(Prices!A134="","",Prices!A134)</f>
        <v/>
      </c>
      <c r="B134" s="14" t="str">
        <f aca="false">IF(A134="","",Prices!C134)</f>
        <v/>
      </c>
      <c r="C134" s="15" t="str">
        <f aca="false">IF(A134="","",IFERROR(INDEX(FX!$B:$B,MATCH(A134,FX!$A:$A,1)),""))</f>
        <v/>
      </c>
      <c r="D134" s="14" t="str">
        <f aca="false">IF(A134="","",SUMIFS(Transactions!$D:$D,Transactions!$A:$A,"&lt;="&amp;A134,Transactions!$B:$B,Settings!$B$1))</f>
        <v/>
      </c>
      <c r="E134" s="14" t="str">
        <f aca="false">IF(A134="","",SUMIFS(Transactions!$C:$C,Transactions!$A:$A,"&lt;="&amp;A134,Transactions!$B:$B,Settings!$B$1)+SUMIFS(Transactions!$F:$F,Transactions!$A:$A,"&lt;="&amp;A134,Transactions!$B:$B,Settings!$B$1))</f>
        <v/>
      </c>
      <c r="F134" s="14" t="str">
        <f aca="false">IF(A134="","",IF(C134="","",D134*B134*C134))</f>
        <v/>
      </c>
      <c r="G134" s="14" t="str">
        <f aca="false">IF(F134="","",F134-E134)</f>
        <v/>
      </c>
      <c r="H134" s="14" t="str">
        <f aca="false">IF(F134="","",IFERROR(F134-F133-(E134-E133),0))</f>
        <v/>
      </c>
    </row>
    <row r="135" customFormat="false" ht="15" hidden="false" customHeight="false" outlineLevel="0" collapsed="false">
      <c r="A135" s="13" t="str">
        <f aca="false">IF(Prices!A135="","",Prices!A135)</f>
        <v/>
      </c>
      <c r="B135" s="14" t="str">
        <f aca="false">IF(A135="","",Prices!C135)</f>
        <v/>
      </c>
      <c r="C135" s="15" t="str">
        <f aca="false">IF(A135="","",IFERROR(INDEX(FX!$B:$B,MATCH(A135,FX!$A:$A,1)),""))</f>
        <v/>
      </c>
      <c r="D135" s="14" t="str">
        <f aca="false">IF(A135="","",SUMIFS(Transactions!$D:$D,Transactions!$A:$A,"&lt;="&amp;A135,Transactions!$B:$B,Settings!$B$1))</f>
        <v/>
      </c>
      <c r="E135" s="14" t="str">
        <f aca="false">IF(A135="","",SUMIFS(Transactions!$C:$C,Transactions!$A:$A,"&lt;="&amp;A135,Transactions!$B:$B,Settings!$B$1)+SUMIFS(Transactions!$F:$F,Transactions!$A:$A,"&lt;="&amp;A135,Transactions!$B:$B,Settings!$B$1))</f>
        <v/>
      </c>
      <c r="F135" s="14" t="str">
        <f aca="false">IF(A135="","",IF(C135="","",D135*B135*C135))</f>
        <v/>
      </c>
      <c r="G135" s="14" t="str">
        <f aca="false">IF(F135="","",F135-E135)</f>
        <v/>
      </c>
      <c r="H135" s="14" t="str">
        <f aca="false">IF(F135="","",IFERROR(F135-F134-(E135-E134),0))</f>
        <v/>
      </c>
    </row>
    <row r="136" customFormat="false" ht="15" hidden="false" customHeight="false" outlineLevel="0" collapsed="false">
      <c r="A136" s="13" t="str">
        <f aca="false">IF(Prices!A136="","",Prices!A136)</f>
        <v/>
      </c>
      <c r="B136" s="14" t="str">
        <f aca="false">IF(A136="","",Prices!C136)</f>
        <v/>
      </c>
      <c r="C136" s="15" t="str">
        <f aca="false">IF(A136="","",IFERROR(INDEX(FX!$B:$B,MATCH(A136,FX!$A:$A,1)),""))</f>
        <v/>
      </c>
      <c r="D136" s="14" t="str">
        <f aca="false">IF(A136="","",SUMIFS(Transactions!$D:$D,Transactions!$A:$A,"&lt;="&amp;A136,Transactions!$B:$B,Settings!$B$1))</f>
        <v/>
      </c>
      <c r="E136" s="14" t="str">
        <f aca="false">IF(A136="","",SUMIFS(Transactions!$C:$C,Transactions!$A:$A,"&lt;="&amp;A136,Transactions!$B:$B,Settings!$B$1)+SUMIFS(Transactions!$F:$F,Transactions!$A:$A,"&lt;="&amp;A136,Transactions!$B:$B,Settings!$B$1))</f>
        <v/>
      </c>
      <c r="F136" s="14" t="str">
        <f aca="false">IF(A136="","",IF(C136="","",D136*B136*C136))</f>
        <v/>
      </c>
      <c r="G136" s="14" t="str">
        <f aca="false">IF(F136="","",F136-E136)</f>
        <v/>
      </c>
      <c r="H136" s="14" t="str">
        <f aca="false">IF(F136="","",IFERROR(F136-F135-(E136-E135),0))</f>
        <v/>
      </c>
    </row>
    <row r="137" customFormat="false" ht="15" hidden="false" customHeight="false" outlineLevel="0" collapsed="false">
      <c r="A137" s="13" t="str">
        <f aca="false">IF(Prices!A137="","",Prices!A137)</f>
        <v/>
      </c>
      <c r="B137" s="14" t="str">
        <f aca="false">IF(A137="","",Prices!C137)</f>
        <v/>
      </c>
      <c r="C137" s="15" t="str">
        <f aca="false">IF(A137="","",IFERROR(INDEX(FX!$B:$B,MATCH(A137,FX!$A:$A,1)),""))</f>
        <v/>
      </c>
      <c r="D137" s="14" t="str">
        <f aca="false">IF(A137="","",SUMIFS(Transactions!$D:$D,Transactions!$A:$A,"&lt;="&amp;A137,Transactions!$B:$B,Settings!$B$1))</f>
        <v/>
      </c>
      <c r="E137" s="14" t="str">
        <f aca="false">IF(A137="","",SUMIFS(Transactions!$C:$C,Transactions!$A:$A,"&lt;="&amp;A137,Transactions!$B:$B,Settings!$B$1)+SUMIFS(Transactions!$F:$F,Transactions!$A:$A,"&lt;="&amp;A137,Transactions!$B:$B,Settings!$B$1))</f>
        <v/>
      </c>
      <c r="F137" s="14" t="str">
        <f aca="false">IF(A137="","",IF(C137="","",D137*B137*C137))</f>
        <v/>
      </c>
      <c r="G137" s="14" t="str">
        <f aca="false">IF(F137="","",F137-E137)</f>
        <v/>
      </c>
      <c r="H137" s="14" t="str">
        <f aca="false">IF(F137="","",IFERROR(F137-F136-(E137-E136),0))</f>
        <v/>
      </c>
    </row>
    <row r="138" customFormat="false" ht="15" hidden="false" customHeight="false" outlineLevel="0" collapsed="false">
      <c r="A138" s="13" t="str">
        <f aca="false">IF(Prices!A138="","",Prices!A138)</f>
        <v/>
      </c>
      <c r="B138" s="14" t="str">
        <f aca="false">IF(A138="","",Prices!C138)</f>
        <v/>
      </c>
      <c r="C138" s="15" t="str">
        <f aca="false">IF(A138="","",IFERROR(INDEX(FX!$B:$B,MATCH(A138,FX!$A:$A,1)),""))</f>
        <v/>
      </c>
      <c r="D138" s="14" t="str">
        <f aca="false">IF(A138="","",SUMIFS(Transactions!$D:$D,Transactions!$A:$A,"&lt;="&amp;A138,Transactions!$B:$B,Settings!$B$1))</f>
        <v/>
      </c>
      <c r="E138" s="14" t="str">
        <f aca="false">IF(A138="","",SUMIFS(Transactions!$C:$C,Transactions!$A:$A,"&lt;="&amp;A138,Transactions!$B:$B,Settings!$B$1)+SUMIFS(Transactions!$F:$F,Transactions!$A:$A,"&lt;="&amp;A138,Transactions!$B:$B,Settings!$B$1))</f>
        <v/>
      </c>
      <c r="F138" s="14" t="str">
        <f aca="false">IF(A138="","",IF(C138="","",D138*B138*C138))</f>
        <v/>
      </c>
      <c r="G138" s="14" t="str">
        <f aca="false">IF(F138="","",F138-E138)</f>
        <v/>
      </c>
      <c r="H138" s="14" t="str">
        <f aca="false">IF(F138="","",IFERROR(F138-F137-(E138-E137),0))</f>
        <v/>
      </c>
    </row>
    <row r="139" customFormat="false" ht="15" hidden="false" customHeight="false" outlineLevel="0" collapsed="false">
      <c r="A139" s="13" t="str">
        <f aca="false">IF(Prices!A139="","",Prices!A139)</f>
        <v/>
      </c>
      <c r="B139" s="14" t="str">
        <f aca="false">IF(A139="","",Prices!C139)</f>
        <v/>
      </c>
      <c r="C139" s="15" t="str">
        <f aca="false">IF(A139="","",IFERROR(INDEX(FX!$B:$B,MATCH(A139,FX!$A:$A,1)),""))</f>
        <v/>
      </c>
      <c r="D139" s="14" t="str">
        <f aca="false">IF(A139="","",SUMIFS(Transactions!$D:$D,Transactions!$A:$A,"&lt;="&amp;A139,Transactions!$B:$B,Settings!$B$1))</f>
        <v/>
      </c>
      <c r="E139" s="14" t="str">
        <f aca="false">IF(A139="","",SUMIFS(Transactions!$C:$C,Transactions!$A:$A,"&lt;="&amp;A139,Transactions!$B:$B,Settings!$B$1)+SUMIFS(Transactions!$F:$F,Transactions!$A:$A,"&lt;="&amp;A139,Transactions!$B:$B,Settings!$B$1))</f>
        <v/>
      </c>
      <c r="F139" s="14" t="str">
        <f aca="false">IF(A139="","",IF(C139="","",D139*B139*C139))</f>
        <v/>
      </c>
      <c r="G139" s="14" t="str">
        <f aca="false">IF(F139="","",F139-E139)</f>
        <v/>
      </c>
      <c r="H139" s="14" t="str">
        <f aca="false">IF(F139="","",IFERROR(F139-F138-(E139-E138),0))</f>
        <v/>
      </c>
    </row>
    <row r="140" customFormat="false" ht="15" hidden="false" customHeight="false" outlineLevel="0" collapsed="false">
      <c r="A140" s="13" t="str">
        <f aca="false">IF(Prices!A140="","",Prices!A140)</f>
        <v/>
      </c>
      <c r="B140" s="14" t="str">
        <f aca="false">IF(A140="","",Prices!C140)</f>
        <v/>
      </c>
      <c r="C140" s="15" t="str">
        <f aca="false">IF(A140="","",IFERROR(INDEX(FX!$B:$B,MATCH(A140,FX!$A:$A,1)),""))</f>
        <v/>
      </c>
      <c r="D140" s="14" t="str">
        <f aca="false">IF(A140="","",SUMIFS(Transactions!$D:$D,Transactions!$A:$A,"&lt;="&amp;A140,Transactions!$B:$B,Settings!$B$1))</f>
        <v/>
      </c>
      <c r="E140" s="14" t="str">
        <f aca="false">IF(A140="","",SUMIFS(Transactions!$C:$C,Transactions!$A:$A,"&lt;="&amp;A140,Transactions!$B:$B,Settings!$B$1)+SUMIFS(Transactions!$F:$F,Transactions!$A:$A,"&lt;="&amp;A140,Transactions!$B:$B,Settings!$B$1))</f>
        <v/>
      </c>
      <c r="F140" s="14" t="str">
        <f aca="false">IF(A140="","",IF(C140="","",D140*B140*C140))</f>
        <v/>
      </c>
      <c r="G140" s="14" t="str">
        <f aca="false">IF(F140="","",F140-E140)</f>
        <v/>
      </c>
      <c r="H140" s="14" t="str">
        <f aca="false">IF(F140="","",IFERROR(F140-F139-(E140-E139),0))</f>
        <v/>
      </c>
    </row>
    <row r="141" customFormat="false" ht="15" hidden="false" customHeight="false" outlineLevel="0" collapsed="false">
      <c r="A141" s="13" t="str">
        <f aca="false">IF(Prices!A141="","",Prices!A141)</f>
        <v/>
      </c>
      <c r="B141" s="14" t="str">
        <f aca="false">IF(A141="","",Prices!C141)</f>
        <v/>
      </c>
      <c r="C141" s="15" t="str">
        <f aca="false">IF(A141="","",IFERROR(INDEX(FX!$B:$B,MATCH(A141,FX!$A:$A,1)),""))</f>
        <v/>
      </c>
      <c r="D141" s="14" t="str">
        <f aca="false">IF(A141="","",SUMIFS(Transactions!$D:$D,Transactions!$A:$A,"&lt;="&amp;A141,Transactions!$B:$B,Settings!$B$1))</f>
        <v/>
      </c>
      <c r="E141" s="14" t="str">
        <f aca="false">IF(A141="","",SUMIFS(Transactions!$C:$C,Transactions!$A:$A,"&lt;="&amp;A141,Transactions!$B:$B,Settings!$B$1)+SUMIFS(Transactions!$F:$F,Transactions!$A:$A,"&lt;="&amp;A141,Transactions!$B:$B,Settings!$B$1))</f>
        <v/>
      </c>
      <c r="F141" s="14" t="str">
        <f aca="false">IF(A141="","",IF(C141="","",D141*B141*C141))</f>
        <v/>
      </c>
      <c r="G141" s="14" t="str">
        <f aca="false">IF(F141="","",F141-E141)</f>
        <v/>
      </c>
      <c r="H141" s="14" t="str">
        <f aca="false">IF(F141="","",IFERROR(F141-F140-(E141-E140),0))</f>
        <v/>
      </c>
    </row>
    <row r="142" customFormat="false" ht="15" hidden="false" customHeight="false" outlineLevel="0" collapsed="false">
      <c r="A142" s="13" t="str">
        <f aca="false">IF(Prices!A142="","",Prices!A142)</f>
        <v/>
      </c>
      <c r="B142" s="14" t="str">
        <f aca="false">IF(A142="","",Prices!C142)</f>
        <v/>
      </c>
      <c r="C142" s="15" t="str">
        <f aca="false">IF(A142="","",IFERROR(INDEX(FX!$B:$B,MATCH(A142,FX!$A:$A,1)),""))</f>
        <v/>
      </c>
      <c r="D142" s="14" t="str">
        <f aca="false">IF(A142="","",SUMIFS(Transactions!$D:$D,Transactions!$A:$A,"&lt;="&amp;A142,Transactions!$B:$B,Settings!$B$1))</f>
        <v/>
      </c>
      <c r="E142" s="14" t="str">
        <f aca="false">IF(A142="","",SUMIFS(Transactions!$C:$C,Transactions!$A:$A,"&lt;="&amp;A142,Transactions!$B:$B,Settings!$B$1)+SUMIFS(Transactions!$F:$F,Transactions!$A:$A,"&lt;="&amp;A142,Transactions!$B:$B,Settings!$B$1))</f>
        <v/>
      </c>
      <c r="F142" s="14" t="str">
        <f aca="false">IF(A142="","",IF(C142="","",D142*B142*C142))</f>
        <v/>
      </c>
      <c r="G142" s="14" t="str">
        <f aca="false">IF(F142="","",F142-E142)</f>
        <v/>
      </c>
      <c r="H142" s="14" t="str">
        <f aca="false">IF(F142="","",IFERROR(F142-F141-(E142-E141),0))</f>
        <v/>
      </c>
    </row>
    <row r="143" customFormat="false" ht="15" hidden="false" customHeight="false" outlineLevel="0" collapsed="false">
      <c r="A143" s="13" t="str">
        <f aca="false">IF(Prices!A143="","",Prices!A143)</f>
        <v/>
      </c>
      <c r="B143" s="14" t="str">
        <f aca="false">IF(A143="","",Prices!C143)</f>
        <v/>
      </c>
      <c r="C143" s="15" t="str">
        <f aca="false">IF(A143="","",IFERROR(INDEX(FX!$B:$B,MATCH(A143,FX!$A:$A,1)),""))</f>
        <v/>
      </c>
      <c r="D143" s="14" t="str">
        <f aca="false">IF(A143="","",SUMIFS(Transactions!$D:$D,Transactions!$A:$A,"&lt;="&amp;A143,Transactions!$B:$B,Settings!$B$1))</f>
        <v/>
      </c>
      <c r="E143" s="14" t="str">
        <f aca="false">IF(A143="","",SUMIFS(Transactions!$C:$C,Transactions!$A:$A,"&lt;="&amp;A143,Transactions!$B:$B,Settings!$B$1)+SUMIFS(Transactions!$F:$F,Transactions!$A:$A,"&lt;="&amp;A143,Transactions!$B:$B,Settings!$B$1))</f>
        <v/>
      </c>
      <c r="F143" s="14" t="str">
        <f aca="false">IF(A143="","",IF(C143="","",D143*B143*C143))</f>
        <v/>
      </c>
      <c r="G143" s="14" t="str">
        <f aca="false">IF(F143="","",F143-E143)</f>
        <v/>
      </c>
      <c r="H143" s="14" t="str">
        <f aca="false">IF(F143="","",IFERROR(F143-F142-(E143-E142),0))</f>
        <v/>
      </c>
    </row>
    <row r="144" customFormat="false" ht="15" hidden="false" customHeight="false" outlineLevel="0" collapsed="false">
      <c r="A144" s="13" t="str">
        <f aca="false">IF(Prices!A144="","",Prices!A144)</f>
        <v/>
      </c>
      <c r="B144" s="14" t="str">
        <f aca="false">IF(A144="","",Prices!C144)</f>
        <v/>
      </c>
      <c r="C144" s="15" t="str">
        <f aca="false">IF(A144="","",IFERROR(INDEX(FX!$B:$B,MATCH(A144,FX!$A:$A,1)),""))</f>
        <v/>
      </c>
      <c r="D144" s="14" t="str">
        <f aca="false">IF(A144="","",SUMIFS(Transactions!$D:$D,Transactions!$A:$A,"&lt;="&amp;A144,Transactions!$B:$B,Settings!$B$1))</f>
        <v/>
      </c>
      <c r="E144" s="14" t="str">
        <f aca="false">IF(A144="","",SUMIFS(Transactions!$C:$C,Transactions!$A:$A,"&lt;="&amp;A144,Transactions!$B:$B,Settings!$B$1)+SUMIFS(Transactions!$F:$F,Transactions!$A:$A,"&lt;="&amp;A144,Transactions!$B:$B,Settings!$B$1))</f>
        <v/>
      </c>
      <c r="F144" s="14" t="str">
        <f aca="false">IF(A144="","",IF(C144="","",D144*B144*C144))</f>
        <v/>
      </c>
      <c r="G144" s="14" t="str">
        <f aca="false">IF(F144="","",F144-E144)</f>
        <v/>
      </c>
      <c r="H144" s="14" t="str">
        <f aca="false">IF(F144="","",IFERROR(F144-F143-(E144-E143),0))</f>
        <v/>
      </c>
    </row>
    <row r="145" customFormat="false" ht="15" hidden="false" customHeight="false" outlineLevel="0" collapsed="false">
      <c r="A145" s="13" t="str">
        <f aca="false">IF(Prices!A145="","",Prices!A145)</f>
        <v/>
      </c>
      <c r="B145" s="14" t="str">
        <f aca="false">IF(A145="","",Prices!C145)</f>
        <v/>
      </c>
      <c r="C145" s="15" t="str">
        <f aca="false">IF(A145="","",IFERROR(INDEX(FX!$B:$B,MATCH(A145,FX!$A:$A,1)),""))</f>
        <v/>
      </c>
      <c r="D145" s="14" t="str">
        <f aca="false">IF(A145="","",SUMIFS(Transactions!$D:$D,Transactions!$A:$A,"&lt;="&amp;A145,Transactions!$B:$B,Settings!$B$1))</f>
        <v/>
      </c>
      <c r="E145" s="14" t="str">
        <f aca="false">IF(A145="","",SUMIFS(Transactions!$C:$C,Transactions!$A:$A,"&lt;="&amp;A145,Transactions!$B:$B,Settings!$B$1)+SUMIFS(Transactions!$F:$F,Transactions!$A:$A,"&lt;="&amp;A145,Transactions!$B:$B,Settings!$B$1))</f>
        <v/>
      </c>
      <c r="F145" s="14" t="str">
        <f aca="false">IF(A145="","",IF(C145="","",D145*B145*C145))</f>
        <v/>
      </c>
      <c r="G145" s="14" t="str">
        <f aca="false">IF(F145="","",F145-E145)</f>
        <v/>
      </c>
      <c r="H145" s="14" t="str">
        <f aca="false">IF(F145="","",IFERROR(F145-F144-(E145-E144),0))</f>
        <v/>
      </c>
    </row>
    <row r="146" customFormat="false" ht="15" hidden="false" customHeight="false" outlineLevel="0" collapsed="false">
      <c r="A146" s="13" t="str">
        <f aca="false">IF(Prices!A146="","",Prices!A146)</f>
        <v/>
      </c>
      <c r="B146" s="14" t="str">
        <f aca="false">IF(A146="","",Prices!C146)</f>
        <v/>
      </c>
      <c r="C146" s="15" t="str">
        <f aca="false">IF(A146="","",IFERROR(INDEX(FX!$B:$B,MATCH(A146,FX!$A:$A,1)),""))</f>
        <v/>
      </c>
      <c r="D146" s="14" t="str">
        <f aca="false">IF(A146="","",SUMIFS(Transactions!$D:$D,Transactions!$A:$A,"&lt;="&amp;A146,Transactions!$B:$B,Settings!$B$1))</f>
        <v/>
      </c>
      <c r="E146" s="14" t="str">
        <f aca="false">IF(A146="","",SUMIFS(Transactions!$C:$C,Transactions!$A:$A,"&lt;="&amp;A146,Transactions!$B:$B,Settings!$B$1)+SUMIFS(Transactions!$F:$F,Transactions!$A:$A,"&lt;="&amp;A146,Transactions!$B:$B,Settings!$B$1))</f>
        <v/>
      </c>
      <c r="F146" s="14" t="str">
        <f aca="false">IF(A146="","",IF(C146="","",D146*B146*C146))</f>
        <v/>
      </c>
      <c r="G146" s="14" t="str">
        <f aca="false">IF(F146="","",F146-E146)</f>
        <v/>
      </c>
      <c r="H146" s="14" t="str">
        <f aca="false">IF(F146="","",IFERROR(F146-F145-(E146-E145),0))</f>
        <v/>
      </c>
    </row>
    <row r="147" customFormat="false" ht="15" hidden="false" customHeight="false" outlineLevel="0" collapsed="false">
      <c r="A147" s="13" t="str">
        <f aca="false">IF(Prices!A147="","",Prices!A147)</f>
        <v/>
      </c>
      <c r="B147" s="14" t="str">
        <f aca="false">IF(A147="","",Prices!C147)</f>
        <v/>
      </c>
      <c r="C147" s="15" t="str">
        <f aca="false">IF(A147="","",IFERROR(INDEX(FX!$B:$B,MATCH(A147,FX!$A:$A,1)),""))</f>
        <v/>
      </c>
      <c r="D147" s="14" t="str">
        <f aca="false">IF(A147="","",SUMIFS(Transactions!$D:$D,Transactions!$A:$A,"&lt;="&amp;A147,Transactions!$B:$B,Settings!$B$1))</f>
        <v/>
      </c>
      <c r="E147" s="14" t="str">
        <f aca="false">IF(A147="","",SUMIFS(Transactions!$C:$C,Transactions!$A:$A,"&lt;="&amp;A147,Transactions!$B:$B,Settings!$B$1)+SUMIFS(Transactions!$F:$F,Transactions!$A:$A,"&lt;="&amp;A147,Transactions!$B:$B,Settings!$B$1))</f>
        <v/>
      </c>
      <c r="F147" s="14" t="str">
        <f aca="false">IF(A147="","",IF(C147="","",D147*B147*C147))</f>
        <v/>
      </c>
      <c r="G147" s="14" t="str">
        <f aca="false">IF(F147="","",F147-E147)</f>
        <v/>
      </c>
      <c r="H147" s="14" t="str">
        <f aca="false">IF(F147="","",IFERROR(F147-F146-(E147-E146),0))</f>
        <v/>
      </c>
    </row>
    <row r="148" customFormat="false" ht="15" hidden="false" customHeight="false" outlineLevel="0" collapsed="false">
      <c r="A148" s="13" t="str">
        <f aca="false">IF(Prices!A148="","",Prices!A148)</f>
        <v/>
      </c>
      <c r="B148" s="14" t="str">
        <f aca="false">IF(A148="","",Prices!C148)</f>
        <v/>
      </c>
      <c r="C148" s="15" t="str">
        <f aca="false">IF(A148="","",IFERROR(INDEX(FX!$B:$B,MATCH(A148,FX!$A:$A,1)),""))</f>
        <v/>
      </c>
      <c r="D148" s="14" t="str">
        <f aca="false">IF(A148="","",SUMIFS(Transactions!$D:$D,Transactions!$A:$A,"&lt;="&amp;A148,Transactions!$B:$B,Settings!$B$1))</f>
        <v/>
      </c>
      <c r="E148" s="14" t="str">
        <f aca="false">IF(A148="","",SUMIFS(Transactions!$C:$C,Transactions!$A:$A,"&lt;="&amp;A148,Transactions!$B:$B,Settings!$B$1)+SUMIFS(Transactions!$F:$F,Transactions!$A:$A,"&lt;="&amp;A148,Transactions!$B:$B,Settings!$B$1))</f>
        <v/>
      </c>
      <c r="F148" s="14" t="str">
        <f aca="false">IF(A148="","",IF(C148="","",D148*B148*C148))</f>
        <v/>
      </c>
      <c r="G148" s="14" t="str">
        <f aca="false">IF(F148="","",F148-E148)</f>
        <v/>
      </c>
      <c r="H148" s="14" t="str">
        <f aca="false">IF(F148="","",IFERROR(F148-F147-(E148-E147),0))</f>
        <v/>
      </c>
    </row>
    <row r="149" customFormat="false" ht="15" hidden="false" customHeight="false" outlineLevel="0" collapsed="false">
      <c r="A149" s="13" t="str">
        <f aca="false">IF(Prices!A149="","",Prices!A149)</f>
        <v/>
      </c>
      <c r="B149" s="14" t="str">
        <f aca="false">IF(A149="","",Prices!C149)</f>
        <v/>
      </c>
      <c r="C149" s="15" t="str">
        <f aca="false">IF(A149="","",IFERROR(INDEX(FX!$B:$B,MATCH(A149,FX!$A:$A,1)),""))</f>
        <v/>
      </c>
      <c r="D149" s="14" t="str">
        <f aca="false">IF(A149="","",SUMIFS(Transactions!$D:$D,Transactions!$A:$A,"&lt;="&amp;A149,Transactions!$B:$B,Settings!$B$1))</f>
        <v/>
      </c>
      <c r="E149" s="14" t="str">
        <f aca="false">IF(A149="","",SUMIFS(Transactions!$C:$C,Transactions!$A:$A,"&lt;="&amp;A149,Transactions!$B:$B,Settings!$B$1)+SUMIFS(Transactions!$F:$F,Transactions!$A:$A,"&lt;="&amp;A149,Transactions!$B:$B,Settings!$B$1))</f>
        <v/>
      </c>
      <c r="F149" s="14" t="str">
        <f aca="false">IF(A149="","",IF(C149="","",D149*B149*C149))</f>
        <v/>
      </c>
      <c r="G149" s="14" t="str">
        <f aca="false">IF(F149="","",F149-E149)</f>
        <v/>
      </c>
      <c r="H149" s="14" t="str">
        <f aca="false">IF(F149="","",IFERROR(F149-F148-(E149-E148),0))</f>
        <v/>
      </c>
    </row>
    <row r="150" customFormat="false" ht="15" hidden="false" customHeight="false" outlineLevel="0" collapsed="false">
      <c r="A150" s="13" t="str">
        <f aca="false">IF(Prices!A150="","",Prices!A150)</f>
        <v/>
      </c>
      <c r="B150" s="14" t="str">
        <f aca="false">IF(A150="","",Prices!C150)</f>
        <v/>
      </c>
      <c r="C150" s="15" t="str">
        <f aca="false">IF(A150="","",IFERROR(INDEX(FX!$B:$B,MATCH(A150,FX!$A:$A,1)),""))</f>
        <v/>
      </c>
      <c r="D150" s="14" t="str">
        <f aca="false">IF(A150="","",SUMIFS(Transactions!$D:$D,Transactions!$A:$A,"&lt;="&amp;A150,Transactions!$B:$B,Settings!$B$1))</f>
        <v/>
      </c>
      <c r="E150" s="14" t="str">
        <f aca="false">IF(A150="","",SUMIFS(Transactions!$C:$C,Transactions!$A:$A,"&lt;="&amp;A150,Transactions!$B:$B,Settings!$B$1)+SUMIFS(Transactions!$F:$F,Transactions!$A:$A,"&lt;="&amp;A150,Transactions!$B:$B,Settings!$B$1))</f>
        <v/>
      </c>
      <c r="F150" s="14" t="str">
        <f aca="false">IF(A150="","",IF(C150="","",D150*B150*C150))</f>
        <v/>
      </c>
      <c r="G150" s="14" t="str">
        <f aca="false">IF(F150="","",F150-E150)</f>
        <v/>
      </c>
      <c r="H150" s="14" t="str">
        <f aca="false">IF(F150="","",IFERROR(F150-F149-(E150-E149),0))</f>
        <v/>
      </c>
    </row>
    <row r="151" customFormat="false" ht="15" hidden="false" customHeight="false" outlineLevel="0" collapsed="false">
      <c r="A151" s="13" t="str">
        <f aca="false">IF(Prices!A151="","",Prices!A151)</f>
        <v/>
      </c>
      <c r="B151" s="14" t="str">
        <f aca="false">IF(A151="","",Prices!C151)</f>
        <v/>
      </c>
      <c r="C151" s="15" t="str">
        <f aca="false">IF(A151="","",IFERROR(INDEX(FX!$B:$B,MATCH(A151,FX!$A:$A,1)),""))</f>
        <v/>
      </c>
      <c r="D151" s="14" t="str">
        <f aca="false">IF(A151="","",SUMIFS(Transactions!$D:$D,Transactions!$A:$A,"&lt;="&amp;A151,Transactions!$B:$B,Settings!$B$1))</f>
        <v/>
      </c>
      <c r="E151" s="14" t="str">
        <f aca="false">IF(A151="","",SUMIFS(Transactions!$C:$C,Transactions!$A:$A,"&lt;="&amp;A151,Transactions!$B:$B,Settings!$B$1)+SUMIFS(Transactions!$F:$F,Transactions!$A:$A,"&lt;="&amp;A151,Transactions!$B:$B,Settings!$B$1))</f>
        <v/>
      </c>
      <c r="F151" s="14" t="str">
        <f aca="false">IF(A151="","",IF(C151="","",D151*B151*C151))</f>
        <v/>
      </c>
      <c r="G151" s="14" t="str">
        <f aca="false">IF(F151="","",F151-E151)</f>
        <v/>
      </c>
      <c r="H151" s="14" t="str">
        <f aca="false">IF(F151="","",IFERROR(F151-F150-(E151-E150),0))</f>
        <v/>
      </c>
    </row>
    <row r="152" customFormat="false" ht="15" hidden="false" customHeight="false" outlineLevel="0" collapsed="false">
      <c r="A152" s="13" t="str">
        <f aca="false">IF(Prices!A152="","",Prices!A152)</f>
        <v/>
      </c>
      <c r="B152" s="14" t="str">
        <f aca="false">IF(A152="","",Prices!C152)</f>
        <v/>
      </c>
      <c r="C152" s="15" t="str">
        <f aca="false">IF(A152="","",IFERROR(INDEX(FX!$B:$B,MATCH(A152,FX!$A:$A,1)),""))</f>
        <v/>
      </c>
      <c r="D152" s="14" t="str">
        <f aca="false">IF(A152="","",SUMIFS(Transactions!$D:$D,Transactions!$A:$A,"&lt;="&amp;A152,Transactions!$B:$B,Settings!$B$1))</f>
        <v/>
      </c>
      <c r="E152" s="14" t="str">
        <f aca="false">IF(A152="","",SUMIFS(Transactions!$C:$C,Transactions!$A:$A,"&lt;="&amp;A152,Transactions!$B:$B,Settings!$B$1)+SUMIFS(Transactions!$F:$F,Transactions!$A:$A,"&lt;="&amp;A152,Transactions!$B:$B,Settings!$B$1))</f>
        <v/>
      </c>
      <c r="F152" s="14" t="str">
        <f aca="false">IF(A152="","",IF(C152="","",D152*B152*C152))</f>
        <v/>
      </c>
      <c r="G152" s="14" t="str">
        <f aca="false">IF(F152="","",F152-E152)</f>
        <v/>
      </c>
      <c r="H152" s="14" t="str">
        <f aca="false">IF(F152="","",IFERROR(F152-F151-(E152-E151),0))</f>
        <v/>
      </c>
    </row>
    <row r="153" customFormat="false" ht="15" hidden="false" customHeight="false" outlineLevel="0" collapsed="false">
      <c r="A153" s="13" t="str">
        <f aca="false">IF(Prices!A153="","",Prices!A153)</f>
        <v/>
      </c>
      <c r="B153" s="14" t="str">
        <f aca="false">IF(A153="","",Prices!C153)</f>
        <v/>
      </c>
      <c r="C153" s="15" t="str">
        <f aca="false">IF(A153="","",IFERROR(INDEX(FX!$B:$B,MATCH(A153,FX!$A:$A,1)),""))</f>
        <v/>
      </c>
      <c r="D153" s="14" t="str">
        <f aca="false">IF(A153="","",SUMIFS(Transactions!$D:$D,Transactions!$A:$A,"&lt;="&amp;A153,Transactions!$B:$B,Settings!$B$1))</f>
        <v/>
      </c>
      <c r="E153" s="14" t="str">
        <f aca="false">IF(A153="","",SUMIFS(Transactions!$C:$C,Transactions!$A:$A,"&lt;="&amp;A153,Transactions!$B:$B,Settings!$B$1)+SUMIFS(Transactions!$F:$F,Transactions!$A:$A,"&lt;="&amp;A153,Transactions!$B:$B,Settings!$B$1))</f>
        <v/>
      </c>
      <c r="F153" s="14" t="str">
        <f aca="false">IF(A153="","",IF(C153="","",D153*B153*C153))</f>
        <v/>
      </c>
      <c r="G153" s="14" t="str">
        <f aca="false">IF(F153="","",F153-E153)</f>
        <v/>
      </c>
      <c r="H153" s="14" t="str">
        <f aca="false">IF(F153="","",IFERROR(F153-F152-(E153-E152),0))</f>
        <v/>
      </c>
    </row>
    <row r="154" customFormat="false" ht="15" hidden="false" customHeight="false" outlineLevel="0" collapsed="false">
      <c r="A154" s="13" t="str">
        <f aca="false">IF(Prices!A154="","",Prices!A154)</f>
        <v/>
      </c>
      <c r="B154" s="14" t="str">
        <f aca="false">IF(A154="","",Prices!C154)</f>
        <v/>
      </c>
      <c r="C154" s="15" t="str">
        <f aca="false">IF(A154="","",IFERROR(INDEX(FX!$B:$B,MATCH(A154,FX!$A:$A,1)),""))</f>
        <v/>
      </c>
      <c r="D154" s="14" t="str">
        <f aca="false">IF(A154="","",SUMIFS(Transactions!$D:$D,Transactions!$A:$A,"&lt;="&amp;A154,Transactions!$B:$B,Settings!$B$1))</f>
        <v/>
      </c>
      <c r="E154" s="14" t="str">
        <f aca="false">IF(A154="","",SUMIFS(Transactions!$C:$C,Transactions!$A:$A,"&lt;="&amp;A154,Transactions!$B:$B,Settings!$B$1)+SUMIFS(Transactions!$F:$F,Transactions!$A:$A,"&lt;="&amp;A154,Transactions!$B:$B,Settings!$B$1))</f>
        <v/>
      </c>
      <c r="F154" s="14" t="str">
        <f aca="false">IF(A154="","",IF(C154="","",D154*B154*C154))</f>
        <v/>
      </c>
      <c r="G154" s="14" t="str">
        <f aca="false">IF(F154="","",F154-E154)</f>
        <v/>
      </c>
      <c r="H154" s="14" t="str">
        <f aca="false">IF(F154="","",IFERROR(F154-F153-(E154-E153),0))</f>
        <v/>
      </c>
    </row>
    <row r="155" customFormat="false" ht="15" hidden="false" customHeight="false" outlineLevel="0" collapsed="false">
      <c r="A155" s="13" t="str">
        <f aca="false">IF(Prices!A155="","",Prices!A155)</f>
        <v/>
      </c>
      <c r="B155" s="14" t="str">
        <f aca="false">IF(A155="","",Prices!C155)</f>
        <v/>
      </c>
      <c r="C155" s="15" t="str">
        <f aca="false">IF(A155="","",IFERROR(INDEX(FX!$B:$B,MATCH(A155,FX!$A:$A,1)),""))</f>
        <v/>
      </c>
      <c r="D155" s="14" t="str">
        <f aca="false">IF(A155="","",SUMIFS(Transactions!$D:$D,Transactions!$A:$A,"&lt;="&amp;A155,Transactions!$B:$B,Settings!$B$1))</f>
        <v/>
      </c>
      <c r="E155" s="14" t="str">
        <f aca="false">IF(A155="","",SUMIFS(Transactions!$C:$C,Transactions!$A:$A,"&lt;="&amp;A155,Transactions!$B:$B,Settings!$B$1)+SUMIFS(Transactions!$F:$F,Transactions!$A:$A,"&lt;="&amp;A155,Transactions!$B:$B,Settings!$B$1))</f>
        <v/>
      </c>
      <c r="F155" s="14" t="str">
        <f aca="false">IF(A155="","",IF(C155="","",D155*B155*C155))</f>
        <v/>
      </c>
      <c r="G155" s="14" t="str">
        <f aca="false">IF(F155="","",F155-E155)</f>
        <v/>
      </c>
      <c r="H155" s="14" t="str">
        <f aca="false">IF(F155="","",IFERROR(F155-F154-(E155-E154),0))</f>
        <v/>
      </c>
    </row>
    <row r="156" customFormat="false" ht="15" hidden="false" customHeight="false" outlineLevel="0" collapsed="false">
      <c r="A156" s="13" t="str">
        <f aca="false">IF(Prices!A156="","",Prices!A156)</f>
        <v/>
      </c>
      <c r="B156" s="14" t="str">
        <f aca="false">IF(A156="","",Prices!C156)</f>
        <v/>
      </c>
      <c r="C156" s="15" t="str">
        <f aca="false">IF(A156="","",IFERROR(INDEX(FX!$B:$B,MATCH(A156,FX!$A:$A,1)),""))</f>
        <v/>
      </c>
      <c r="D156" s="14" t="str">
        <f aca="false">IF(A156="","",SUMIFS(Transactions!$D:$D,Transactions!$A:$A,"&lt;="&amp;A156,Transactions!$B:$B,Settings!$B$1))</f>
        <v/>
      </c>
      <c r="E156" s="14" t="str">
        <f aca="false">IF(A156="","",SUMIFS(Transactions!$C:$C,Transactions!$A:$A,"&lt;="&amp;A156,Transactions!$B:$B,Settings!$B$1)+SUMIFS(Transactions!$F:$F,Transactions!$A:$A,"&lt;="&amp;A156,Transactions!$B:$B,Settings!$B$1))</f>
        <v/>
      </c>
      <c r="F156" s="14" t="str">
        <f aca="false">IF(A156="","",IF(C156="","",D156*B156*C156))</f>
        <v/>
      </c>
      <c r="G156" s="14" t="str">
        <f aca="false">IF(F156="","",F156-E156)</f>
        <v/>
      </c>
      <c r="H156" s="14" t="str">
        <f aca="false">IF(F156="","",IFERROR(F156-F155-(E156-E155),0))</f>
        <v/>
      </c>
    </row>
    <row r="157" customFormat="false" ht="15" hidden="false" customHeight="false" outlineLevel="0" collapsed="false">
      <c r="A157" s="13" t="str">
        <f aca="false">IF(Prices!A157="","",Prices!A157)</f>
        <v/>
      </c>
      <c r="B157" s="14" t="str">
        <f aca="false">IF(A157="","",Prices!C157)</f>
        <v/>
      </c>
      <c r="C157" s="15" t="str">
        <f aca="false">IF(A157="","",IFERROR(INDEX(FX!$B:$B,MATCH(A157,FX!$A:$A,1)),""))</f>
        <v/>
      </c>
      <c r="D157" s="14" t="str">
        <f aca="false">IF(A157="","",SUMIFS(Transactions!$D:$D,Transactions!$A:$A,"&lt;="&amp;A157,Transactions!$B:$B,Settings!$B$1))</f>
        <v/>
      </c>
      <c r="E157" s="14" t="str">
        <f aca="false">IF(A157="","",SUMIFS(Transactions!$C:$C,Transactions!$A:$A,"&lt;="&amp;A157,Transactions!$B:$B,Settings!$B$1)+SUMIFS(Transactions!$F:$F,Transactions!$A:$A,"&lt;="&amp;A157,Transactions!$B:$B,Settings!$B$1))</f>
        <v/>
      </c>
      <c r="F157" s="14" t="str">
        <f aca="false">IF(A157="","",IF(C157="","",D157*B157*C157))</f>
        <v/>
      </c>
      <c r="G157" s="14" t="str">
        <f aca="false">IF(F157="","",F157-E157)</f>
        <v/>
      </c>
      <c r="H157" s="14" t="str">
        <f aca="false">IF(F157="","",IFERROR(F157-F156-(E157-E156),0))</f>
        <v/>
      </c>
    </row>
    <row r="158" customFormat="false" ht="15" hidden="false" customHeight="false" outlineLevel="0" collapsed="false">
      <c r="A158" s="13" t="str">
        <f aca="false">IF(Prices!A158="","",Prices!A158)</f>
        <v/>
      </c>
      <c r="B158" s="14" t="str">
        <f aca="false">IF(A158="","",Prices!C158)</f>
        <v/>
      </c>
      <c r="C158" s="15" t="str">
        <f aca="false">IF(A158="","",IFERROR(INDEX(FX!$B:$B,MATCH(A158,FX!$A:$A,1)),""))</f>
        <v/>
      </c>
      <c r="D158" s="14" t="str">
        <f aca="false">IF(A158="","",SUMIFS(Transactions!$D:$D,Transactions!$A:$A,"&lt;="&amp;A158,Transactions!$B:$B,Settings!$B$1))</f>
        <v/>
      </c>
      <c r="E158" s="14" t="str">
        <f aca="false">IF(A158="","",SUMIFS(Transactions!$C:$C,Transactions!$A:$A,"&lt;="&amp;A158,Transactions!$B:$B,Settings!$B$1)+SUMIFS(Transactions!$F:$F,Transactions!$A:$A,"&lt;="&amp;A158,Transactions!$B:$B,Settings!$B$1))</f>
        <v/>
      </c>
      <c r="F158" s="14" t="str">
        <f aca="false">IF(A158="","",IF(C158="","",D158*B158*C158))</f>
        <v/>
      </c>
      <c r="G158" s="14" t="str">
        <f aca="false">IF(F158="","",F158-E158)</f>
        <v/>
      </c>
      <c r="H158" s="14" t="str">
        <f aca="false">IF(F158="","",IFERROR(F158-F157-(E158-E157),0))</f>
        <v/>
      </c>
    </row>
    <row r="159" customFormat="false" ht="15" hidden="false" customHeight="false" outlineLevel="0" collapsed="false">
      <c r="A159" s="13" t="str">
        <f aca="false">IF(Prices!A159="","",Prices!A159)</f>
        <v/>
      </c>
      <c r="B159" s="14" t="str">
        <f aca="false">IF(A159="","",Prices!C159)</f>
        <v/>
      </c>
      <c r="C159" s="15" t="str">
        <f aca="false">IF(A159="","",IFERROR(INDEX(FX!$B:$B,MATCH(A159,FX!$A:$A,1)),""))</f>
        <v/>
      </c>
      <c r="D159" s="14" t="str">
        <f aca="false">IF(A159="","",SUMIFS(Transactions!$D:$D,Transactions!$A:$A,"&lt;="&amp;A159,Transactions!$B:$B,Settings!$B$1))</f>
        <v/>
      </c>
      <c r="E159" s="14" t="str">
        <f aca="false">IF(A159="","",SUMIFS(Transactions!$C:$C,Transactions!$A:$A,"&lt;="&amp;A159,Transactions!$B:$B,Settings!$B$1)+SUMIFS(Transactions!$F:$F,Transactions!$A:$A,"&lt;="&amp;A159,Transactions!$B:$B,Settings!$B$1))</f>
        <v/>
      </c>
      <c r="F159" s="14" t="str">
        <f aca="false">IF(A159="","",IF(C159="","",D159*B159*C159))</f>
        <v/>
      </c>
      <c r="G159" s="14" t="str">
        <f aca="false">IF(F159="","",F159-E159)</f>
        <v/>
      </c>
      <c r="H159" s="14" t="str">
        <f aca="false">IF(F159="","",IFERROR(F159-F158-(E159-E158),0))</f>
        <v/>
      </c>
    </row>
    <row r="160" customFormat="false" ht="15" hidden="false" customHeight="false" outlineLevel="0" collapsed="false">
      <c r="A160" s="13" t="str">
        <f aca="false">IF(Prices!A160="","",Prices!A160)</f>
        <v/>
      </c>
      <c r="B160" s="14" t="str">
        <f aca="false">IF(A160="","",Prices!C160)</f>
        <v/>
      </c>
      <c r="C160" s="15" t="str">
        <f aca="false">IF(A160="","",IFERROR(INDEX(FX!$B:$B,MATCH(A160,FX!$A:$A,1)),""))</f>
        <v/>
      </c>
      <c r="D160" s="14" t="str">
        <f aca="false">IF(A160="","",SUMIFS(Transactions!$D:$D,Transactions!$A:$A,"&lt;="&amp;A160,Transactions!$B:$B,Settings!$B$1))</f>
        <v/>
      </c>
      <c r="E160" s="14" t="str">
        <f aca="false">IF(A160="","",SUMIFS(Transactions!$C:$C,Transactions!$A:$A,"&lt;="&amp;A160,Transactions!$B:$B,Settings!$B$1)+SUMIFS(Transactions!$F:$F,Transactions!$A:$A,"&lt;="&amp;A160,Transactions!$B:$B,Settings!$B$1))</f>
        <v/>
      </c>
      <c r="F160" s="14" t="str">
        <f aca="false">IF(A160="","",IF(C160="","",D160*B160*C160))</f>
        <v/>
      </c>
      <c r="G160" s="14" t="str">
        <f aca="false">IF(F160="","",F160-E160)</f>
        <v/>
      </c>
      <c r="H160" s="14" t="str">
        <f aca="false">IF(F160="","",IFERROR(F160-F159-(E160-E159),0))</f>
        <v/>
      </c>
    </row>
    <row r="161" customFormat="false" ht="15" hidden="false" customHeight="false" outlineLevel="0" collapsed="false">
      <c r="A161" s="13" t="str">
        <f aca="false">IF(Prices!A161="","",Prices!A161)</f>
        <v/>
      </c>
      <c r="B161" s="14" t="str">
        <f aca="false">IF(A161="","",Prices!C161)</f>
        <v/>
      </c>
      <c r="C161" s="15" t="str">
        <f aca="false">IF(A161="","",IFERROR(INDEX(FX!$B:$B,MATCH(A161,FX!$A:$A,1)),""))</f>
        <v/>
      </c>
      <c r="D161" s="14" t="str">
        <f aca="false">IF(A161="","",SUMIFS(Transactions!$D:$D,Transactions!$A:$A,"&lt;="&amp;A161,Transactions!$B:$B,Settings!$B$1))</f>
        <v/>
      </c>
      <c r="E161" s="14" t="str">
        <f aca="false">IF(A161="","",SUMIFS(Transactions!$C:$C,Transactions!$A:$A,"&lt;="&amp;A161,Transactions!$B:$B,Settings!$B$1)+SUMIFS(Transactions!$F:$F,Transactions!$A:$A,"&lt;="&amp;A161,Transactions!$B:$B,Settings!$B$1))</f>
        <v/>
      </c>
      <c r="F161" s="14" t="str">
        <f aca="false">IF(A161="","",IF(C161="","",D161*B161*C161))</f>
        <v/>
      </c>
      <c r="G161" s="14" t="str">
        <f aca="false">IF(F161="","",F161-E161)</f>
        <v/>
      </c>
      <c r="H161" s="14" t="str">
        <f aca="false">IF(F161="","",IFERROR(F161-F160-(E161-E160),0))</f>
        <v/>
      </c>
    </row>
    <row r="162" customFormat="false" ht="15" hidden="false" customHeight="false" outlineLevel="0" collapsed="false">
      <c r="A162" s="13" t="str">
        <f aca="false">IF(Prices!A162="","",Prices!A162)</f>
        <v/>
      </c>
      <c r="B162" s="14" t="str">
        <f aca="false">IF(A162="","",Prices!C162)</f>
        <v/>
      </c>
      <c r="C162" s="15" t="str">
        <f aca="false">IF(A162="","",IFERROR(INDEX(FX!$B:$B,MATCH(A162,FX!$A:$A,1)),""))</f>
        <v/>
      </c>
      <c r="D162" s="14" t="str">
        <f aca="false">IF(A162="","",SUMIFS(Transactions!$D:$D,Transactions!$A:$A,"&lt;="&amp;A162,Transactions!$B:$B,Settings!$B$1))</f>
        <v/>
      </c>
      <c r="E162" s="14" t="str">
        <f aca="false">IF(A162="","",SUMIFS(Transactions!$C:$C,Transactions!$A:$A,"&lt;="&amp;A162,Transactions!$B:$B,Settings!$B$1)+SUMIFS(Transactions!$F:$F,Transactions!$A:$A,"&lt;="&amp;A162,Transactions!$B:$B,Settings!$B$1))</f>
        <v/>
      </c>
      <c r="F162" s="14" t="str">
        <f aca="false">IF(A162="","",IF(C162="","",D162*B162*C162))</f>
        <v/>
      </c>
      <c r="G162" s="14" t="str">
        <f aca="false">IF(F162="","",F162-E162)</f>
        <v/>
      </c>
      <c r="H162" s="14" t="str">
        <f aca="false">IF(F162="","",IFERROR(F162-F161-(E162-E161),0))</f>
        <v/>
      </c>
    </row>
    <row r="163" customFormat="false" ht="15" hidden="false" customHeight="false" outlineLevel="0" collapsed="false">
      <c r="A163" s="13" t="str">
        <f aca="false">IF(Prices!A163="","",Prices!A163)</f>
        <v/>
      </c>
      <c r="B163" s="14" t="str">
        <f aca="false">IF(A163="","",Prices!C163)</f>
        <v/>
      </c>
      <c r="C163" s="15" t="str">
        <f aca="false">IF(A163="","",IFERROR(INDEX(FX!$B:$B,MATCH(A163,FX!$A:$A,1)),""))</f>
        <v/>
      </c>
      <c r="D163" s="14" t="str">
        <f aca="false">IF(A163="","",SUMIFS(Transactions!$D:$D,Transactions!$A:$A,"&lt;="&amp;A163,Transactions!$B:$B,Settings!$B$1))</f>
        <v/>
      </c>
      <c r="E163" s="14" t="str">
        <f aca="false">IF(A163="","",SUMIFS(Transactions!$C:$C,Transactions!$A:$A,"&lt;="&amp;A163,Transactions!$B:$B,Settings!$B$1)+SUMIFS(Transactions!$F:$F,Transactions!$A:$A,"&lt;="&amp;A163,Transactions!$B:$B,Settings!$B$1))</f>
        <v/>
      </c>
      <c r="F163" s="14" t="str">
        <f aca="false">IF(A163="","",IF(C163="","",D163*B163*C163))</f>
        <v/>
      </c>
      <c r="G163" s="14" t="str">
        <f aca="false">IF(F163="","",F163-E163)</f>
        <v/>
      </c>
      <c r="H163" s="14" t="str">
        <f aca="false">IF(F163="","",IFERROR(F163-F162-(E163-E162),0))</f>
        <v/>
      </c>
    </row>
    <row r="164" customFormat="false" ht="15" hidden="false" customHeight="false" outlineLevel="0" collapsed="false">
      <c r="A164" s="13" t="str">
        <f aca="false">IF(Prices!A164="","",Prices!A164)</f>
        <v/>
      </c>
      <c r="B164" s="14" t="str">
        <f aca="false">IF(A164="","",Prices!C164)</f>
        <v/>
      </c>
      <c r="C164" s="15" t="str">
        <f aca="false">IF(A164="","",IFERROR(INDEX(FX!$B:$B,MATCH(A164,FX!$A:$A,1)),""))</f>
        <v/>
      </c>
      <c r="D164" s="14" t="str">
        <f aca="false">IF(A164="","",SUMIFS(Transactions!$D:$D,Transactions!$A:$A,"&lt;="&amp;A164,Transactions!$B:$B,Settings!$B$1))</f>
        <v/>
      </c>
      <c r="E164" s="14" t="str">
        <f aca="false">IF(A164="","",SUMIFS(Transactions!$C:$C,Transactions!$A:$A,"&lt;="&amp;A164,Transactions!$B:$B,Settings!$B$1)+SUMIFS(Transactions!$F:$F,Transactions!$A:$A,"&lt;="&amp;A164,Transactions!$B:$B,Settings!$B$1))</f>
        <v/>
      </c>
      <c r="F164" s="14" t="str">
        <f aca="false">IF(A164="","",IF(C164="","",D164*B164*C164))</f>
        <v/>
      </c>
      <c r="G164" s="14" t="str">
        <f aca="false">IF(F164="","",F164-E164)</f>
        <v/>
      </c>
      <c r="H164" s="14" t="str">
        <f aca="false">IF(F164="","",IFERROR(F164-F163-(E164-E163),0))</f>
        <v/>
      </c>
    </row>
    <row r="165" customFormat="false" ht="15" hidden="false" customHeight="false" outlineLevel="0" collapsed="false">
      <c r="A165" s="13" t="str">
        <f aca="false">IF(Prices!A165="","",Prices!A165)</f>
        <v/>
      </c>
      <c r="B165" s="14" t="str">
        <f aca="false">IF(A165="","",Prices!C165)</f>
        <v/>
      </c>
      <c r="C165" s="15" t="str">
        <f aca="false">IF(A165="","",IFERROR(INDEX(FX!$B:$B,MATCH(A165,FX!$A:$A,1)),""))</f>
        <v/>
      </c>
      <c r="D165" s="14" t="str">
        <f aca="false">IF(A165="","",SUMIFS(Transactions!$D:$D,Transactions!$A:$A,"&lt;="&amp;A165,Transactions!$B:$B,Settings!$B$1))</f>
        <v/>
      </c>
      <c r="E165" s="14" t="str">
        <f aca="false">IF(A165="","",SUMIFS(Transactions!$C:$C,Transactions!$A:$A,"&lt;="&amp;A165,Transactions!$B:$B,Settings!$B$1)+SUMIFS(Transactions!$F:$F,Transactions!$A:$A,"&lt;="&amp;A165,Transactions!$B:$B,Settings!$B$1))</f>
        <v/>
      </c>
      <c r="F165" s="14" t="str">
        <f aca="false">IF(A165="","",IF(C165="","",D165*B165*C165))</f>
        <v/>
      </c>
      <c r="G165" s="14" t="str">
        <f aca="false">IF(F165="","",F165-E165)</f>
        <v/>
      </c>
      <c r="H165" s="14" t="str">
        <f aca="false">IF(F165="","",IFERROR(F165-F164-(E165-E164),0))</f>
        <v/>
      </c>
    </row>
    <row r="166" customFormat="false" ht="15" hidden="false" customHeight="false" outlineLevel="0" collapsed="false">
      <c r="A166" s="13" t="str">
        <f aca="false">IF(Prices!A166="","",Prices!A166)</f>
        <v/>
      </c>
      <c r="B166" s="14" t="str">
        <f aca="false">IF(A166="","",Prices!C166)</f>
        <v/>
      </c>
      <c r="C166" s="15" t="str">
        <f aca="false">IF(A166="","",IFERROR(INDEX(FX!$B:$B,MATCH(A166,FX!$A:$A,1)),""))</f>
        <v/>
      </c>
      <c r="D166" s="14" t="str">
        <f aca="false">IF(A166="","",SUMIFS(Transactions!$D:$D,Transactions!$A:$A,"&lt;="&amp;A166,Transactions!$B:$B,Settings!$B$1))</f>
        <v/>
      </c>
      <c r="E166" s="14" t="str">
        <f aca="false">IF(A166="","",SUMIFS(Transactions!$C:$C,Transactions!$A:$A,"&lt;="&amp;A166,Transactions!$B:$B,Settings!$B$1)+SUMIFS(Transactions!$F:$F,Transactions!$A:$A,"&lt;="&amp;A166,Transactions!$B:$B,Settings!$B$1))</f>
        <v/>
      </c>
      <c r="F166" s="14" t="str">
        <f aca="false">IF(A166="","",IF(C166="","",D166*B166*C166))</f>
        <v/>
      </c>
      <c r="G166" s="14" t="str">
        <f aca="false">IF(F166="","",F166-E166)</f>
        <v/>
      </c>
      <c r="H166" s="14" t="str">
        <f aca="false">IF(F166="","",IFERROR(F166-F165-(E166-E165),0))</f>
        <v/>
      </c>
    </row>
    <row r="167" customFormat="false" ht="15" hidden="false" customHeight="false" outlineLevel="0" collapsed="false">
      <c r="A167" s="13" t="str">
        <f aca="false">IF(Prices!A167="","",Prices!A167)</f>
        <v/>
      </c>
      <c r="B167" s="14" t="str">
        <f aca="false">IF(A167="","",Prices!C167)</f>
        <v/>
      </c>
      <c r="C167" s="15" t="str">
        <f aca="false">IF(A167="","",IFERROR(INDEX(FX!$B:$B,MATCH(A167,FX!$A:$A,1)),""))</f>
        <v/>
      </c>
      <c r="D167" s="14" t="str">
        <f aca="false">IF(A167="","",SUMIFS(Transactions!$D:$D,Transactions!$A:$A,"&lt;="&amp;A167,Transactions!$B:$B,Settings!$B$1))</f>
        <v/>
      </c>
      <c r="E167" s="14" t="str">
        <f aca="false">IF(A167="","",SUMIFS(Transactions!$C:$C,Transactions!$A:$A,"&lt;="&amp;A167,Transactions!$B:$B,Settings!$B$1)+SUMIFS(Transactions!$F:$F,Transactions!$A:$A,"&lt;="&amp;A167,Transactions!$B:$B,Settings!$B$1))</f>
        <v/>
      </c>
      <c r="F167" s="14" t="str">
        <f aca="false">IF(A167="","",IF(C167="","",D167*B167*C167))</f>
        <v/>
      </c>
      <c r="G167" s="14" t="str">
        <f aca="false">IF(F167="","",F167-E167)</f>
        <v/>
      </c>
      <c r="H167" s="14" t="str">
        <f aca="false">IF(F167="","",IFERROR(F167-F166-(E167-E166),0))</f>
        <v/>
      </c>
    </row>
    <row r="168" customFormat="false" ht="15" hidden="false" customHeight="false" outlineLevel="0" collapsed="false">
      <c r="A168" s="13" t="str">
        <f aca="false">IF(Prices!A168="","",Prices!A168)</f>
        <v/>
      </c>
      <c r="B168" s="14" t="str">
        <f aca="false">IF(A168="","",Prices!C168)</f>
        <v/>
      </c>
      <c r="C168" s="15" t="str">
        <f aca="false">IF(A168="","",IFERROR(INDEX(FX!$B:$B,MATCH(A168,FX!$A:$A,1)),""))</f>
        <v/>
      </c>
      <c r="D168" s="14" t="str">
        <f aca="false">IF(A168="","",SUMIFS(Transactions!$D:$D,Transactions!$A:$A,"&lt;="&amp;A168,Transactions!$B:$B,Settings!$B$1))</f>
        <v/>
      </c>
      <c r="E168" s="14" t="str">
        <f aca="false">IF(A168="","",SUMIFS(Transactions!$C:$C,Transactions!$A:$A,"&lt;="&amp;A168,Transactions!$B:$B,Settings!$B$1)+SUMIFS(Transactions!$F:$F,Transactions!$A:$A,"&lt;="&amp;A168,Transactions!$B:$B,Settings!$B$1))</f>
        <v/>
      </c>
      <c r="F168" s="14" t="str">
        <f aca="false">IF(A168="","",IF(C168="","",D168*B168*C168))</f>
        <v/>
      </c>
      <c r="G168" s="14" t="str">
        <f aca="false">IF(F168="","",F168-E168)</f>
        <v/>
      </c>
      <c r="H168" s="14" t="str">
        <f aca="false">IF(F168="","",IFERROR(F168-F167-(E168-E167),0))</f>
        <v/>
      </c>
    </row>
    <row r="169" customFormat="false" ht="15" hidden="false" customHeight="false" outlineLevel="0" collapsed="false">
      <c r="A169" s="13" t="str">
        <f aca="false">IF(Prices!A169="","",Prices!A169)</f>
        <v/>
      </c>
      <c r="B169" s="14" t="str">
        <f aca="false">IF(A169="","",Prices!C169)</f>
        <v/>
      </c>
      <c r="C169" s="15" t="str">
        <f aca="false">IF(A169="","",IFERROR(INDEX(FX!$B:$B,MATCH(A169,FX!$A:$A,1)),""))</f>
        <v/>
      </c>
      <c r="D169" s="14" t="str">
        <f aca="false">IF(A169="","",SUMIFS(Transactions!$D:$D,Transactions!$A:$A,"&lt;="&amp;A169,Transactions!$B:$B,Settings!$B$1))</f>
        <v/>
      </c>
      <c r="E169" s="14" t="str">
        <f aca="false">IF(A169="","",SUMIFS(Transactions!$C:$C,Transactions!$A:$A,"&lt;="&amp;A169,Transactions!$B:$B,Settings!$B$1)+SUMIFS(Transactions!$F:$F,Transactions!$A:$A,"&lt;="&amp;A169,Transactions!$B:$B,Settings!$B$1))</f>
        <v/>
      </c>
      <c r="F169" s="14" t="str">
        <f aca="false">IF(A169="","",IF(C169="","",D169*B169*C169))</f>
        <v/>
      </c>
      <c r="G169" s="14" t="str">
        <f aca="false">IF(F169="","",F169-E169)</f>
        <v/>
      </c>
      <c r="H169" s="14" t="str">
        <f aca="false">IF(F169="","",IFERROR(F169-F168-(E169-E168),0))</f>
        <v/>
      </c>
    </row>
    <row r="170" customFormat="false" ht="15" hidden="false" customHeight="false" outlineLevel="0" collapsed="false">
      <c r="A170" s="13" t="str">
        <f aca="false">IF(Prices!A170="","",Prices!A170)</f>
        <v/>
      </c>
      <c r="B170" s="14" t="str">
        <f aca="false">IF(A170="","",Prices!C170)</f>
        <v/>
      </c>
      <c r="C170" s="15" t="str">
        <f aca="false">IF(A170="","",IFERROR(INDEX(FX!$B:$B,MATCH(A170,FX!$A:$A,1)),""))</f>
        <v/>
      </c>
      <c r="D170" s="14" t="str">
        <f aca="false">IF(A170="","",SUMIFS(Transactions!$D:$D,Transactions!$A:$A,"&lt;="&amp;A170,Transactions!$B:$B,Settings!$B$1))</f>
        <v/>
      </c>
      <c r="E170" s="14" t="str">
        <f aca="false">IF(A170="","",SUMIFS(Transactions!$C:$C,Transactions!$A:$A,"&lt;="&amp;A170,Transactions!$B:$B,Settings!$B$1)+SUMIFS(Transactions!$F:$F,Transactions!$A:$A,"&lt;="&amp;A170,Transactions!$B:$B,Settings!$B$1))</f>
        <v/>
      </c>
      <c r="F170" s="14" t="str">
        <f aca="false">IF(A170="","",IF(C170="","",D170*B170*C170))</f>
        <v/>
      </c>
      <c r="G170" s="14" t="str">
        <f aca="false">IF(F170="","",F170-E170)</f>
        <v/>
      </c>
      <c r="H170" s="14" t="str">
        <f aca="false">IF(F170="","",IFERROR(F170-F169-(E170-E169),0))</f>
        <v/>
      </c>
    </row>
    <row r="171" customFormat="false" ht="15" hidden="false" customHeight="false" outlineLevel="0" collapsed="false">
      <c r="A171" s="13" t="str">
        <f aca="false">IF(Prices!A171="","",Prices!A171)</f>
        <v/>
      </c>
      <c r="B171" s="14" t="str">
        <f aca="false">IF(A171="","",Prices!C171)</f>
        <v/>
      </c>
      <c r="C171" s="15" t="str">
        <f aca="false">IF(A171="","",IFERROR(INDEX(FX!$B:$B,MATCH(A171,FX!$A:$A,1)),""))</f>
        <v/>
      </c>
      <c r="D171" s="14" t="str">
        <f aca="false">IF(A171="","",SUMIFS(Transactions!$D:$D,Transactions!$A:$A,"&lt;="&amp;A171,Transactions!$B:$B,Settings!$B$1))</f>
        <v/>
      </c>
      <c r="E171" s="14" t="str">
        <f aca="false">IF(A171="","",SUMIFS(Transactions!$C:$C,Transactions!$A:$A,"&lt;="&amp;A171,Transactions!$B:$B,Settings!$B$1)+SUMIFS(Transactions!$F:$F,Transactions!$A:$A,"&lt;="&amp;A171,Transactions!$B:$B,Settings!$B$1))</f>
        <v/>
      </c>
      <c r="F171" s="14" t="str">
        <f aca="false">IF(A171="","",IF(C171="","",D171*B171*C171))</f>
        <v/>
      </c>
      <c r="G171" s="14" t="str">
        <f aca="false">IF(F171="","",F171-E171)</f>
        <v/>
      </c>
      <c r="H171" s="14" t="str">
        <f aca="false">IF(F171="","",IFERROR(F171-F170-(E171-E170),0))</f>
        <v/>
      </c>
    </row>
    <row r="172" customFormat="false" ht="15" hidden="false" customHeight="false" outlineLevel="0" collapsed="false">
      <c r="A172" s="13" t="str">
        <f aca="false">IF(Prices!A172="","",Prices!A172)</f>
        <v/>
      </c>
      <c r="B172" s="14" t="str">
        <f aca="false">IF(A172="","",Prices!C172)</f>
        <v/>
      </c>
      <c r="C172" s="15" t="str">
        <f aca="false">IF(A172="","",IFERROR(INDEX(FX!$B:$B,MATCH(A172,FX!$A:$A,1)),""))</f>
        <v/>
      </c>
      <c r="D172" s="14" t="str">
        <f aca="false">IF(A172="","",SUMIFS(Transactions!$D:$D,Transactions!$A:$A,"&lt;="&amp;A172,Transactions!$B:$B,Settings!$B$1))</f>
        <v/>
      </c>
      <c r="E172" s="14" t="str">
        <f aca="false">IF(A172="","",SUMIFS(Transactions!$C:$C,Transactions!$A:$A,"&lt;="&amp;A172,Transactions!$B:$B,Settings!$B$1)+SUMIFS(Transactions!$F:$F,Transactions!$A:$A,"&lt;="&amp;A172,Transactions!$B:$B,Settings!$B$1))</f>
        <v/>
      </c>
      <c r="F172" s="14" t="str">
        <f aca="false">IF(A172="","",IF(C172="","",D172*B172*C172))</f>
        <v/>
      </c>
      <c r="G172" s="14" t="str">
        <f aca="false">IF(F172="","",F172-E172)</f>
        <v/>
      </c>
      <c r="H172" s="14" t="str">
        <f aca="false">IF(F172="","",IFERROR(F172-F171-(E172-E171),0))</f>
        <v/>
      </c>
    </row>
    <row r="173" customFormat="false" ht="15" hidden="false" customHeight="false" outlineLevel="0" collapsed="false">
      <c r="A173" s="13" t="str">
        <f aca="false">IF(Prices!A173="","",Prices!A173)</f>
        <v/>
      </c>
      <c r="B173" s="14" t="str">
        <f aca="false">IF(A173="","",Prices!C173)</f>
        <v/>
      </c>
      <c r="C173" s="15" t="str">
        <f aca="false">IF(A173="","",IFERROR(INDEX(FX!$B:$B,MATCH(A173,FX!$A:$A,1)),""))</f>
        <v/>
      </c>
      <c r="D173" s="14" t="str">
        <f aca="false">IF(A173="","",SUMIFS(Transactions!$D:$D,Transactions!$A:$A,"&lt;="&amp;A173,Transactions!$B:$B,Settings!$B$1))</f>
        <v/>
      </c>
      <c r="E173" s="14" t="str">
        <f aca="false">IF(A173="","",SUMIFS(Transactions!$C:$C,Transactions!$A:$A,"&lt;="&amp;A173,Transactions!$B:$B,Settings!$B$1)+SUMIFS(Transactions!$F:$F,Transactions!$A:$A,"&lt;="&amp;A173,Transactions!$B:$B,Settings!$B$1))</f>
        <v/>
      </c>
      <c r="F173" s="14" t="str">
        <f aca="false">IF(A173="","",IF(C173="","",D173*B173*C173))</f>
        <v/>
      </c>
      <c r="G173" s="14" t="str">
        <f aca="false">IF(F173="","",F173-E173)</f>
        <v/>
      </c>
      <c r="H173" s="14" t="str">
        <f aca="false">IF(F173="","",IFERROR(F173-F172-(E173-E172),0))</f>
        <v/>
      </c>
    </row>
    <row r="174" customFormat="false" ht="15" hidden="false" customHeight="false" outlineLevel="0" collapsed="false">
      <c r="A174" s="13" t="str">
        <f aca="false">IF(Prices!A174="","",Prices!A174)</f>
        <v/>
      </c>
      <c r="B174" s="14" t="str">
        <f aca="false">IF(A174="","",Prices!C174)</f>
        <v/>
      </c>
      <c r="C174" s="15" t="str">
        <f aca="false">IF(A174="","",IFERROR(INDEX(FX!$B:$B,MATCH(A174,FX!$A:$A,1)),""))</f>
        <v/>
      </c>
      <c r="D174" s="14" t="str">
        <f aca="false">IF(A174="","",SUMIFS(Transactions!$D:$D,Transactions!$A:$A,"&lt;="&amp;A174,Transactions!$B:$B,Settings!$B$1))</f>
        <v/>
      </c>
      <c r="E174" s="14" t="str">
        <f aca="false">IF(A174="","",SUMIFS(Transactions!$C:$C,Transactions!$A:$A,"&lt;="&amp;A174,Transactions!$B:$B,Settings!$B$1)+SUMIFS(Transactions!$F:$F,Transactions!$A:$A,"&lt;="&amp;A174,Transactions!$B:$B,Settings!$B$1))</f>
        <v/>
      </c>
      <c r="F174" s="14" t="str">
        <f aca="false">IF(A174="","",IF(C174="","",D174*B174*C174))</f>
        <v/>
      </c>
      <c r="G174" s="14" t="str">
        <f aca="false">IF(F174="","",F174-E174)</f>
        <v/>
      </c>
      <c r="H174" s="14" t="str">
        <f aca="false">IF(F174="","",IFERROR(F174-F173-(E174-E173),0))</f>
        <v/>
      </c>
    </row>
    <row r="175" customFormat="false" ht="15" hidden="false" customHeight="false" outlineLevel="0" collapsed="false">
      <c r="A175" s="13" t="str">
        <f aca="false">IF(Prices!A175="","",Prices!A175)</f>
        <v/>
      </c>
      <c r="B175" s="14" t="str">
        <f aca="false">IF(A175="","",Prices!C175)</f>
        <v/>
      </c>
      <c r="C175" s="15" t="str">
        <f aca="false">IF(A175="","",IFERROR(INDEX(FX!$B:$B,MATCH(A175,FX!$A:$A,1)),""))</f>
        <v/>
      </c>
      <c r="D175" s="14" t="str">
        <f aca="false">IF(A175="","",SUMIFS(Transactions!$D:$D,Transactions!$A:$A,"&lt;="&amp;A175,Transactions!$B:$B,Settings!$B$1))</f>
        <v/>
      </c>
      <c r="E175" s="14" t="str">
        <f aca="false">IF(A175="","",SUMIFS(Transactions!$C:$C,Transactions!$A:$A,"&lt;="&amp;A175,Transactions!$B:$B,Settings!$B$1)+SUMIFS(Transactions!$F:$F,Transactions!$A:$A,"&lt;="&amp;A175,Transactions!$B:$B,Settings!$B$1))</f>
        <v/>
      </c>
      <c r="F175" s="14" t="str">
        <f aca="false">IF(A175="","",IF(C175="","",D175*B175*C175))</f>
        <v/>
      </c>
      <c r="G175" s="14" t="str">
        <f aca="false">IF(F175="","",F175-E175)</f>
        <v/>
      </c>
      <c r="H175" s="14" t="str">
        <f aca="false">IF(F175="","",IFERROR(F175-F174-(E175-E174),0))</f>
        <v/>
      </c>
    </row>
    <row r="176" customFormat="false" ht="15" hidden="false" customHeight="false" outlineLevel="0" collapsed="false">
      <c r="A176" s="13" t="str">
        <f aca="false">IF(Prices!A176="","",Prices!A176)</f>
        <v/>
      </c>
      <c r="B176" s="14" t="str">
        <f aca="false">IF(A176="","",Prices!C176)</f>
        <v/>
      </c>
      <c r="C176" s="15" t="str">
        <f aca="false">IF(A176="","",IFERROR(INDEX(FX!$B:$B,MATCH(A176,FX!$A:$A,1)),""))</f>
        <v/>
      </c>
      <c r="D176" s="14" t="str">
        <f aca="false">IF(A176="","",SUMIFS(Transactions!$D:$D,Transactions!$A:$A,"&lt;="&amp;A176,Transactions!$B:$B,Settings!$B$1))</f>
        <v/>
      </c>
      <c r="E176" s="14" t="str">
        <f aca="false">IF(A176="","",SUMIFS(Transactions!$C:$C,Transactions!$A:$A,"&lt;="&amp;A176,Transactions!$B:$B,Settings!$B$1)+SUMIFS(Transactions!$F:$F,Transactions!$A:$A,"&lt;="&amp;A176,Transactions!$B:$B,Settings!$B$1))</f>
        <v/>
      </c>
      <c r="F176" s="14" t="str">
        <f aca="false">IF(A176="","",IF(C176="","",D176*B176*C176))</f>
        <v/>
      </c>
      <c r="G176" s="14" t="str">
        <f aca="false">IF(F176="","",F176-E176)</f>
        <v/>
      </c>
      <c r="H176" s="14" t="str">
        <f aca="false">IF(F176="","",IFERROR(F176-F175-(E176-E175),0))</f>
        <v/>
      </c>
    </row>
    <row r="177" customFormat="false" ht="15" hidden="false" customHeight="false" outlineLevel="0" collapsed="false">
      <c r="A177" s="13" t="str">
        <f aca="false">IF(Prices!A177="","",Prices!A177)</f>
        <v/>
      </c>
      <c r="B177" s="14" t="str">
        <f aca="false">IF(A177="","",Prices!C177)</f>
        <v/>
      </c>
      <c r="C177" s="15" t="str">
        <f aca="false">IF(A177="","",IFERROR(INDEX(FX!$B:$B,MATCH(A177,FX!$A:$A,1)),""))</f>
        <v/>
      </c>
      <c r="D177" s="14" t="str">
        <f aca="false">IF(A177="","",SUMIFS(Transactions!$D:$D,Transactions!$A:$A,"&lt;="&amp;A177,Transactions!$B:$B,Settings!$B$1))</f>
        <v/>
      </c>
      <c r="E177" s="14" t="str">
        <f aca="false">IF(A177="","",SUMIFS(Transactions!$C:$C,Transactions!$A:$A,"&lt;="&amp;A177,Transactions!$B:$B,Settings!$B$1)+SUMIFS(Transactions!$F:$F,Transactions!$A:$A,"&lt;="&amp;A177,Transactions!$B:$B,Settings!$B$1))</f>
        <v/>
      </c>
      <c r="F177" s="14" t="str">
        <f aca="false">IF(A177="","",IF(C177="","",D177*B177*C177))</f>
        <v/>
      </c>
      <c r="G177" s="14" t="str">
        <f aca="false">IF(F177="","",F177-E177)</f>
        <v/>
      </c>
      <c r="H177" s="14" t="str">
        <f aca="false">IF(F177="","",IFERROR(F177-F176-(E177-E176),0))</f>
        <v/>
      </c>
    </row>
    <row r="178" customFormat="false" ht="15" hidden="false" customHeight="false" outlineLevel="0" collapsed="false">
      <c r="A178" s="13" t="str">
        <f aca="false">IF(Prices!A178="","",Prices!A178)</f>
        <v/>
      </c>
      <c r="B178" s="14" t="str">
        <f aca="false">IF(A178="","",Prices!C178)</f>
        <v/>
      </c>
      <c r="C178" s="15" t="str">
        <f aca="false">IF(A178="","",IFERROR(INDEX(FX!$B:$B,MATCH(A178,FX!$A:$A,1)),""))</f>
        <v/>
      </c>
      <c r="D178" s="14" t="str">
        <f aca="false">IF(A178="","",SUMIFS(Transactions!$D:$D,Transactions!$A:$A,"&lt;="&amp;A178,Transactions!$B:$B,Settings!$B$1))</f>
        <v/>
      </c>
      <c r="E178" s="14" t="str">
        <f aca="false">IF(A178="","",SUMIFS(Transactions!$C:$C,Transactions!$A:$A,"&lt;="&amp;A178,Transactions!$B:$B,Settings!$B$1)+SUMIFS(Transactions!$F:$F,Transactions!$A:$A,"&lt;="&amp;A178,Transactions!$B:$B,Settings!$B$1))</f>
        <v/>
      </c>
      <c r="F178" s="14" t="str">
        <f aca="false">IF(A178="","",IF(C178="","",D178*B178*C178))</f>
        <v/>
      </c>
      <c r="G178" s="14" t="str">
        <f aca="false">IF(F178="","",F178-E178)</f>
        <v/>
      </c>
      <c r="H178" s="14" t="str">
        <f aca="false">IF(F178="","",IFERROR(F178-F177-(E178-E177),0))</f>
        <v/>
      </c>
    </row>
    <row r="179" customFormat="false" ht="15" hidden="false" customHeight="false" outlineLevel="0" collapsed="false">
      <c r="A179" s="13" t="str">
        <f aca="false">IF(Prices!A179="","",Prices!A179)</f>
        <v/>
      </c>
      <c r="B179" s="14" t="str">
        <f aca="false">IF(A179="","",Prices!C179)</f>
        <v/>
      </c>
      <c r="C179" s="15" t="str">
        <f aca="false">IF(A179="","",IFERROR(INDEX(FX!$B:$B,MATCH(A179,FX!$A:$A,1)),""))</f>
        <v/>
      </c>
      <c r="D179" s="14" t="str">
        <f aca="false">IF(A179="","",SUMIFS(Transactions!$D:$D,Transactions!$A:$A,"&lt;="&amp;A179,Transactions!$B:$B,Settings!$B$1))</f>
        <v/>
      </c>
      <c r="E179" s="14" t="str">
        <f aca="false">IF(A179="","",SUMIFS(Transactions!$C:$C,Transactions!$A:$A,"&lt;="&amp;A179,Transactions!$B:$B,Settings!$B$1)+SUMIFS(Transactions!$F:$F,Transactions!$A:$A,"&lt;="&amp;A179,Transactions!$B:$B,Settings!$B$1))</f>
        <v/>
      </c>
      <c r="F179" s="14" t="str">
        <f aca="false">IF(A179="","",IF(C179="","",D179*B179*C179))</f>
        <v/>
      </c>
      <c r="G179" s="14" t="str">
        <f aca="false">IF(F179="","",F179-E179)</f>
        <v/>
      </c>
      <c r="H179" s="14" t="str">
        <f aca="false">IF(F179="","",IFERROR(F179-F178-(E179-E178),0))</f>
        <v/>
      </c>
    </row>
    <row r="180" customFormat="false" ht="15" hidden="false" customHeight="false" outlineLevel="0" collapsed="false">
      <c r="A180" s="13" t="str">
        <f aca="false">IF(Prices!A180="","",Prices!A180)</f>
        <v/>
      </c>
      <c r="B180" s="14" t="str">
        <f aca="false">IF(A180="","",Prices!C180)</f>
        <v/>
      </c>
      <c r="C180" s="15" t="str">
        <f aca="false">IF(A180="","",IFERROR(INDEX(FX!$B:$B,MATCH(A180,FX!$A:$A,1)),""))</f>
        <v/>
      </c>
      <c r="D180" s="14" t="str">
        <f aca="false">IF(A180="","",SUMIFS(Transactions!$D:$D,Transactions!$A:$A,"&lt;="&amp;A180,Transactions!$B:$B,Settings!$B$1))</f>
        <v/>
      </c>
      <c r="E180" s="14" t="str">
        <f aca="false">IF(A180="","",SUMIFS(Transactions!$C:$C,Transactions!$A:$A,"&lt;="&amp;A180,Transactions!$B:$B,Settings!$B$1)+SUMIFS(Transactions!$F:$F,Transactions!$A:$A,"&lt;="&amp;A180,Transactions!$B:$B,Settings!$B$1))</f>
        <v/>
      </c>
      <c r="F180" s="14" t="str">
        <f aca="false">IF(A180="","",IF(C180="","",D180*B180*C180))</f>
        <v/>
      </c>
      <c r="G180" s="14" t="str">
        <f aca="false">IF(F180="","",F180-E180)</f>
        <v/>
      </c>
      <c r="H180" s="14" t="str">
        <f aca="false">IF(F180="","",IFERROR(F180-F179-(E180-E179),0))</f>
        <v/>
      </c>
    </row>
    <row r="181" customFormat="false" ht="15" hidden="false" customHeight="false" outlineLevel="0" collapsed="false">
      <c r="A181" s="13" t="str">
        <f aca="false">IF(Prices!A181="","",Prices!A181)</f>
        <v/>
      </c>
      <c r="B181" s="14" t="str">
        <f aca="false">IF(A181="","",Prices!C181)</f>
        <v/>
      </c>
      <c r="C181" s="15" t="str">
        <f aca="false">IF(A181="","",IFERROR(INDEX(FX!$B:$B,MATCH(A181,FX!$A:$A,1)),""))</f>
        <v/>
      </c>
      <c r="D181" s="14" t="str">
        <f aca="false">IF(A181="","",SUMIFS(Transactions!$D:$D,Transactions!$A:$A,"&lt;="&amp;A181,Transactions!$B:$B,Settings!$B$1))</f>
        <v/>
      </c>
      <c r="E181" s="14" t="str">
        <f aca="false">IF(A181="","",SUMIFS(Transactions!$C:$C,Transactions!$A:$A,"&lt;="&amp;A181,Transactions!$B:$B,Settings!$B$1)+SUMIFS(Transactions!$F:$F,Transactions!$A:$A,"&lt;="&amp;A181,Transactions!$B:$B,Settings!$B$1))</f>
        <v/>
      </c>
      <c r="F181" s="14" t="str">
        <f aca="false">IF(A181="","",IF(C181="","",D181*B181*C181))</f>
        <v/>
      </c>
      <c r="G181" s="14" t="str">
        <f aca="false">IF(F181="","",F181-E181)</f>
        <v/>
      </c>
      <c r="H181" s="14" t="str">
        <f aca="false">IF(F181="","",IFERROR(F181-F180-(E181-E180),0))</f>
        <v/>
      </c>
    </row>
    <row r="182" customFormat="false" ht="15" hidden="false" customHeight="false" outlineLevel="0" collapsed="false">
      <c r="A182" s="13" t="str">
        <f aca="false">IF(Prices!A182="","",Prices!A182)</f>
        <v/>
      </c>
      <c r="B182" s="14" t="str">
        <f aca="false">IF(A182="","",Prices!C182)</f>
        <v/>
      </c>
      <c r="C182" s="15" t="str">
        <f aca="false">IF(A182="","",IFERROR(INDEX(FX!$B:$B,MATCH(A182,FX!$A:$A,1)),""))</f>
        <v/>
      </c>
      <c r="D182" s="14" t="str">
        <f aca="false">IF(A182="","",SUMIFS(Transactions!$D:$D,Transactions!$A:$A,"&lt;="&amp;A182,Transactions!$B:$B,Settings!$B$1))</f>
        <v/>
      </c>
      <c r="E182" s="14" t="str">
        <f aca="false">IF(A182="","",SUMIFS(Transactions!$C:$C,Transactions!$A:$A,"&lt;="&amp;A182,Transactions!$B:$B,Settings!$B$1)+SUMIFS(Transactions!$F:$F,Transactions!$A:$A,"&lt;="&amp;A182,Transactions!$B:$B,Settings!$B$1))</f>
        <v/>
      </c>
      <c r="F182" s="14" t="str">
        <f aca="false">IF(A182="","",IF(C182="","",D182*B182*C182))</f>
        <v/>
      </c>
      <c r="G182" s="14" t="str">
        <f aca="false">IF(F182="","",F182-E182)</f>
        <v/>
      </c>
      <c r="H182" s="14" t="str">
        <f aca="false">IF(F182="","",IFERROR(F182-F181-(E182-E181),0))</f>
        <v/>
      </c>
    </row>
    <row r="183" customFormat="false" ht="15" hidden="false" customHeight="false" outlineLevel="0" collapsed="false">
      <c r="A183" s="13" t="str">
        <f aca="false">IF(Prices!A183="","",Prices!A183)</f>
        <v/>
      </c>
      <c r="B183" s="14" t="str">
        <f aca="false">IF(A183="","",Prices!C183)</f>
        <v/>
      </c>
      <c r="C183" s="15" t="str">
        <f aca="false">IF(A183="","",IFERROR(INDEX(FX!$B:$B,MATCH(A183,FX!$A:$A,1)),""))</f>
        <v/>
      </c>
      <c r="D183" s="14" t="str">
        <f aca="false">IF(A183="","",SUMIFS(Transactions!$D:$D,Transactions!$A:$A,"&lt;="&amp;A183,Transactions!$B:$B,Settings!$B$1))</f>
        <v/>
      </c>
      <c r="E183" s="14" t="str">
        <f aca="false">IF(A183="","",SUMIFS(Transactions!$C:$C,Transactions!$A:$A,"&lt;="&amp;A183,Transactions!$B:$B,Settings!$B$1)+SUMIFS(Transactions!$F:$F,Transactions!$A:$A,"&lt;="&amp;A183,Transactions!$B:$B,Settings!$B$1))</f>
        <v/>
      </c>
      <c r="F183" s="14" t="str">
        <f aca="false">IF(A183="","",IF(C183="","",D183*B183*C183))</f>
        <v/>
      </c>
      <c r="G183" s="14" t="str">
        <f aca="false">IF(F183="","",F183-E183)</f>
        <v/>
      </c>
      <c r="H183" s="14" t="str">
        <f aca="false">IF(F183="","",IFERROR(F183-F182-(E183-E182),0))</f>
        <v/>
      </c>
    </row>
    <row r="184" customFormat="false" ht="15" hidden="false" customHeight="false" outlineLevel="0" collapsed="false">
      <c r="A184" s="13" t="str">
        <f aca="false">IF(Prices!A184="","",Prices!A184)</f>
        <v/>
      </c>
      <c r="B184" s="14" t="str">
        <f aca="false">IF(A184="","",Prices!C184)</f>
        <v/>
      </c>
      <c r="C184" s="15" t="str">
        <f aca="false">IF(A184="","",IFERROR(INDEX(FX!$B:$B,MATCH(A184,FX!$A:$A,1)),""))</f>
        <v/>
      </c>
      <c r="D184" s="14" t="str">
        <f aca="false">IF(A184="","",SUMIFS(Transactions!$D:$D,Transactions!$A:$A,"&lt;="&amp;A184,Transactions!$B:$B,Settings!$B$1))</f>
        <v/>
      </c>
      <c r="E184" s="14" t="str">
        <f aca="false">IF(A184="","",SUMIFS(Transactions!$C:$C,Transactions!$A:$A,"&lt;="&amp;A184,Transactions!$B:$B,Settings!$B$1)+SUMIFS(Transactions!$F:$F,Transactions!$A:$A,"&lt;="&amp;A184,Transactions!$B:$B,Settings!$B$1))</f>
        <v/>
      </c>
      <c r="F184" s="14" t="str">
        <f aca="false">IF(A184="","",IF(C184="","",D184*B184*C184))</f>
        <v/>
      </c>
      <c r="G184" s="14" t="str">
        <f aca="false">IF(F184="","",F184-E184)</f>
        <v/>
      </c>
      <c r="H184" s="14" t="str">
        <f aca="false">IF(F184="","",IFERROR(F184-F183-(E184-E183),0))</f>
        <v/>
      </c>
    </row>
    <row r="185" customFormat="false" ht="15" hidden="false" customHeight="false" outlineLevel="0" collapsed="false">
      <c r="A185" s="13" t="str">
        <f aca="false">IF(Prices!A185="","",Prices!A185)</f>
        <v/>
      </c>
      <c r="B185" s="14" t="str">
        <f aca="false">IF(A185="","",Prices!C185)</f>
        <v/>
      </c>
      <c r="C185" s="15" t="str">
        <f aca="false">IF(A185="","",IFERROR(INDEX(FX!$B:$B,MATCH(A185,FX!$A:$A,1)),""))</f>
        <v/>
      </c>
      <c r="D185" s="14" t="str">
        <f aca="false">IF(A185="","",SUMIFS(Transactions!$D:$D,Transactions!$A:$A,"&lt;="&amp;A185,Transactions!$B:$B,Settings!$B$1))</f>
        <v/>
      </c>
      <c r="E185" s="14" t="str">
        <f aca="false">IF(A185="","",SUMIFS(Transactions!$C:$C,Transactions!$A:$A,"&lt;="&amp;A185,Transactions!$B:$B,Settings!$B$1)+SUMIFS(Transactions!$F:$F,Transactions!$A:$A,"&lt;="&amp;A185,Transactions!$B:$B,Settings!$B$1))</f>
        <v/>
      </c>
      <c r="F185" s="14" t="str">
        <f aca="false">IF(A185="","",IF(C185="","",D185*B185*C185))</f>
        <v/>
      </c>
      <c r="G185" s="14" t="str">
        <f aca="false">IF(F185="","",F185-E185)</f>
        <v/>
      </c>
      <c r="H185" s="14" t="str">
        <f aca="false">IF(F185="","",IFERROR(F185-F184-(E185-E184),0))</f>
        <v/>
      </c>
    </row>
    <row r="186" customFormat="false" ht="15" hidden="false" customHeight="false" outlineLevel="0" collapsed="false">
      <c r="A186" s="13" t="str">
        <f aca="false">IF(Prices!A186="","",Prices!A186)</f>
        <v/>
      </c>
      <c r="B186" s="14" t="str">
        <f aca="false">IF(A186="","",Prices!C186)</f>
        <v/>
      </c>
      <c r="C186" s="15" t="str">
        <f aca="false">IF(A186="","",IFERROR(INDEX(FX!$B:$B,MATCH(A186,FX!$A:$A,1)),""))</f>
        <v/>
      </c>
      <c r="D186" s="14" t="str">
        <f aca="false">IF(A186="","",SUMIFS(Transactions!$D:$D,Transactions!$A:$A,"&lt;="&amp;A186,Transactions!$B:$B,Settings!$B$1))</f>
        <v/>
      </c>
      <c r="E186" s="14" t="str">
        <f aca="false">IF(A186="","",SUMIFS(Transactions!$C:$C,Transactions!$A:$A,"&lt;="&amp;A186,Transactions!$B:$B,Settings!$B$1)+SUMIFS(Transactions!$F:$F,Transactions!$A:$A,"&lt;="&amp;A186,Transactions!$B:$B,Settings!$B$1))</f>
        <v/>
      </c>
      <c r="F186" s="14" t="str">
        <f aca="false">IF(A186="","",IF(C186="","",D186*B186*C186))</f>
        <v/>
      </c>
      <c r="G186" s="14" t="str">
        <f aca="false">IF(F186="","",F186-E186)</f>
        <v/>
      </c>
      <c r="H186" s="14" t="str">
        <f aca="false">IF(F186="","",IFERROR(F186-F185-(E186-E185),0))</f>
        <v/>
      </c>
    </row>
    <row r="187" customFormat="false" ht="15" hidden="false" customHeight="false" outlineLevel="0" collapsed="false">
      <c r="A187" s="13" t="str">
        <f aca="false">IF(Prices!A187="","",Prices!A187)</f>
        <v/>
      </c>
      <c r="B187" s="14" t="str">
        <f aca="false">IF(A187="","",Prices!C187)</f>
        <v/>
      </c>
      <c r="C187" s="15" t="str">
        <f aca="false">IF(A187="","",IFERROR(INDEX(FX!$B:$B,MATCH(A187,FX!$A:$A,1)),""))</f>
        <v/>
      </c>
      <c r="D187" s="14" t="str">
        <f aca="false">IF(A187="","",SUMIFS(Transactions!$D:$D,Transactions!$A:$A,"&lt;="&amp;A187,Transactions!$B:$B,Settings!$B$1))</f>
        <v/>
      </c>
      <c r="E187" s="14" t="str">
        <f aca="false">IF(A187="","",SUMIFS(Transactions!$C:$C,Transactions!$A:$A,"&lt;="&amp;A187,Transactions!$B:$B,Settings!$B$1)+SUMIFS(Transactions!$F:$F,Transactions!$A:$A,"&lt;="&amp;A187,Transactions!$B:$B,Settings!$B$1))</f>
        <v/>
      </c>
      <c r="F187" s="14" t="str">
        <f aca="false">IF(A187="","",IF(C187="","",D187*B187*C187))</f>
        <v/>
      </c>
      <c r="G187" s="14" t="str">
        <f aca="false">IF(F187="","",F187-E187)</f>
        <v/>
      </c>
      <c r="H187" s="14" t="str">
        <f aca="false">IF(F187="","",IFERROR(F187-F186-(E187-E186),0))</f>
        <v/>
      </c>
    </row>
    <row r="188" customFormat="false" ht="15" hidden="false" customHeight="false" outlineLevel="0" collapsed="false">
      <c r="A188" s="13" t="str">
        <f aca="false">IF(Prices!A188="","",Prices!A188)</f>
        <v/>
      </c>
      <c r="B188" s="14" t="str">
        <f aca="false">IF(A188="","",Prices!C188)</f>
        <v/>
      </c>
      <c r="C188" s="15" t="str">
        <f aca="false">IF(A188="","",IFERROR(INDEX(FX!$B:$B,MATCH(A188,FX!$A:$A,1)),""))</f>
        <v/>
      </c>
      <c r="D188" s="14" t="str">
        <f aca="false">IF(A188="","",SUMIFS(Transactions!$D:$D,Transactions!$A:$A,"&lt;="&amp;A188,Transactions!$B:$B,Settings!$B$1))</f>
        <v/>
      </c>
      <c r="E188" s="14" t="str">
        <f aca="false">IF(A188="","",SUMIFS(Transactions!$C:$C,Transactions!$A:$A,"&lt;="&amp;A188,Transactions!$B:$B,Settings!$B$1)+SUMIFS(Transactions!$F:$F,Transactions!$A:$A,"&lt;="&amp;A188,Transactions!$B:$B,Settings!$B$1))</f>
        <v/>
      </c>
      <c r="F188" s="14" t="str">
        <f aca="false">IF(A188="","",IF(C188="","",D188*B188*C188))</f>
        <v/>
      </c>
      <c r="G188" s="14" t="str">
        <f aca="false">IF(F188="","",F188-E188)</f>
        <v/>
      </c>
      <c r="H188" s="14" t="str">
        <f aca="false">IF(F188="","",IFERROR(F188-F187-(E188-E187),0))</f>
        <v/>
      </c>
    </row>
    <row r="189" customFormat="false" ht="15" hidden="false" customHeight="false" outlineLevel="0" collapsed="false">
      <c r="A189" s="13" t="str">
        <f aca="false">IF(Prices!A189="","",Prices!A189)</f>
        <v/>
      </c>
      <c r="B189" s="14" t="str">
        <f aca="false">IF(A189="","",Prices!C189)</f>
        <v/>
      </c>
      <c r="C189" s="15" t="str">
        <f aca="false">IF(A189="","",IFERROR(INDEX(FX!$B:$B,MATCH(A189,FX!$A:$A,1)),""))</f>
        <v/>
      </c>
      <c r="D189" s="14" t="str">
        <f aca="false">IF(A189="","",SUMIFS(Transactions!$D:$D,Transactions!$A:$A,"&lt;="&amp;A189,Transactions!$B:$B,Settings!$B$1))</f>
        <v/>
      </c>
      <c r="E189" s="14" t="str">
        <f aca="false">IF(A189="","",SUMIFS(Transactions!$C:$C,Transactions!$A:$A,"&lt;="&amp;A189,Transactions!$B:$B,Settings!$B$1)+SUMIFS(Transactions!$F:$F,Transactions!$A:$A,"&lt;="&amp;A189,Transactions!$B:$B,Settings!$B$1))</f>
        <v/>
      </c>
      <c r="F189" s="14" t="str">
        <f aca="false">IF(A189="","",IF(C189="","",D189*B189*C189))</f>
        <v/>
      </c>
      <c r="G189" s="14" t="str">
        <f aca="false">IF(F189="","",F189-E189)</f>
        <v/>
      </c>
      <c r="H189" s="14" t="str">
        <f aca="false">IF(F189="","",IFERROR(F189-F188-(E189-E188),0))</f>
        <v/>
      </c>
    </row>
    <row r="190" customFormat="false" ht="15" hidden="false" customHeight="false" outlineLevel="0" collapsed="false">
      <c r="A190" s="13" t="str">
        <f aca="false">IF(Prices!A190="","",Prices!A190)</f>
        <v/>
      </c>
      <c r="B190" s="14" t="str">
        <f aca="false">IF(A190="","",Prices!C190)</f>
        <v/>
      </c>
      <c r="C190" s="15" t="str">
        <f aca="false">IF(A190="","",IFERROR(INDEX(FX!$B:$B,MATCH(A190,FX!$A:$A,1)),""))</f>
        <v/>
      </c>
      <c r="D190" s="14" t="str">
        <f aca="false">IF(A190="","",SUMIFS(Transactions!$D:$D,Transactions!$A:$A,"&lt;="&amp;A190,Transactions!$B:$B,Settings!$B$1))</f>
        <v/>
      </c>
      <c r="E190" s="14" t="str">
        <f aca="false">IF(A190="","",SUMIFS(Transactions!$C:$C,Transactions!$A:$A,"&lt;="&amp;A190,Transactions!$B:$B,Settings!$B$1)+SUMIFS(Transactions!$F:$F,Transactions!$A:$A,"&lt;="&amp;A190,Transactions!$B:$B,Settings!$B$1))</f>
        <v/>
      </c>
      <c r="F190" s="14" t="str">
        <f aca="false">IF(A190="","",IF(C190="","",D190*B190*C190))</f>
        <v/>
      </c>
      <c r="G190" s="14" t="str">
        <f aca="false">IF(F190="","",F190-E190)</f>
        <v/>
      </c>
      <c r="H190" s="14" t="str">
        <f aca="false">IF(F190="","",IFERROR(F190-F189-(E190-E189),0))</f>
        <v/>
      </c>
    </row>
    <row r="191" customFormat="false" ht="15" hidden="false" customHeight="false" outlineLevel="0" collapsed="false">
      <c r="A191" s="13" t="str">
        <f aca="false">IF(Prices!A191="","",Prices!A191)</f>
        <v/>
      </c>
      <c r="B191" s="14" t="str">
        <f aca="false">IF(A191="","",Prices!C191)</f>
        <v/>
      </c>
      <c r="C191" s="15" t="str">
        <f aca="false">IF(A191="","",IFERROR(INDEX(FX!$B:$B,MATCH(A191,FX!$A:$A,1)),""))</f>
        <v/>
      </c>
      <c r="D191" s="14" t="str">
        <f aca="false">IF(A191="","",SUMIFS(Transactions!$D:$D,Transactions!$A:$A,"&lt;="&amp;A191,Transactions!$B:$B,Settings!$B$1))</f>
        <v/>
      </c>
      <c r="E191" s="14" t="str">
        <f aca="false">IF(A191="","",SUMIFS(Transactions!$C:$C,Transactions!$A:$A,"&lt;="&amp;A191,Transactions!$B:$B,Settings!$B$1)+SUMIFS(Transactions!$F:$F,Transactions!$A:$A,"&lt;="&amp;A191,Transactions!$B:$B,Settings!$B$1))</f>
        <v/>
      </c>
      <c r="F191" s="14" t="str">
        <f aca="false">IF(A191="","",IF(C191="","",D191*B191*C191))</f>
        <v/>
      </c>
      <c r="G191" s="14" t="str">
        <f aca="false">IF(F191="","",F191-E191)</f>
        <v/>
      </c>
      <c r="H191" s="14" t="str">
        <f aca="false">IF(F191="","",IFERROR(F191-F190-(E191-E190),0))</f>
        <v/>
      </c>
    </row>
    <row r="192" customFormat="false" ht="15" hidden="false" customHeight="false" outlineLevel="0" collapsed="false">
      <c r="A192" s="13" t="str">
        <f aca="false">IF(Prices!A192="","",Prices!A192)</f>
        <v/>
      </c>
      <c r="B192" s="14" t="str">
        <f aca="false">IF(A192="","",Prices!C192)</f>
        <v/>
      </c>
      <c r="C192" s="15" t="str">
        <f aca="false">IF(A192="","",IFERROR(INDEX(FX!$B:$B,MATCH(A192,FX!$A:$A,1)),""))</f>
        <v/>
      </c>
      <c r="D192" s="14" t="str">
        <f aca="false">IF(A192="","",SUMIFS(Transactions!$D:$D,Transactions!$A:$A,"&lt;="&amp;A192,Transactions!$B:$B,Settings!$B$1))</f>
        <v/>
      </c>
      <c r="E192" s="14" t="str">
        <f aca="false">IF(A192="","",SUMIFS(Transactions!$C:$C,Transactions!$A:$A,"&lt;="&amp;A192,Transactions!$B:$B,Settings!$B$1)+SUMIFS(Transactions!$F:$F,Transactions!$A:$A,"&lt;="&amp;A192,Transactions!$B:$B,Settings!$B$1))</f>
        <v/>
      </c>
      <c r="F192" s="14" t="str">
        <f aca="false">IF(A192="","",IF(C192="","",D192*B192*C192))</f>
        <v/>
      </c>
      <c r="G192" s="14" t="str">
        <f aca="false">IF(F192="","",F192-E192)</f>
        <v/>
      </c>
      <c r="H192" s="14" t="str">
        <f aca="false">IF(F192="","",IFERROR(F192-F191-(E192-E191),0))</f>
        <v/>
      </c>
    </row>
    <row r="193" customFormat="false" ht="15" hidden="false" customHeight="false" outlineLevel="0" collapsed="false">
      <c r="A193" s="13" t="str">
        <f aca="false">IF(Prices!A193="","",Prices!A193)</f>
        <v/>
      </c>
      <c r="B193" s="14" t="str">
        <f aca="false">IF(A193="","",Prices!C193)</f>
        <v/>
      </c>
      <c r="C193" s="15" t="str">
        <f aca="false">IF(A193="","",IFERROR(INDEX(FX!$B:$B,MATCH(A193,FX!$A:$A,1)),""))</f>
        <v/>
      </c>
      <c r="D193" s="14" t="str">
        <f aca="false">IF(A193="","",SUMIFS(Transactions!$D:$D,Transactions!$A:$A,"&lt;="&amp;A193,Transactions!$B:$B,Settings!$B$1))</f>
        <v/>
      </c>
      <c r="E193" s="14" t="str">
        <f aca="false">IF(A193="","",SUMIFS(Transactions!$C:$C,Transactions!$A:$A,"&lt;="&amp;A193,Transactions!$B:$B,Settings!$B$1)+SUMIFS(Transactions!$F:$F,Transactions!$A:$A,"&lt;="&amp;A193,Transactions!$B:$B,Settings!$B$1))</f>
        <v/>
      </c>
      <c r="F193" s="14" t="str">
        <f aca="false">IF(A193="","",IF(C193="","",D193*B193*C193))</f>
        <v/>
      </c>
      <c r="G193" s="14" t="str">
        <f aca="false">IF(F193="","",F193-E193)</f>
        <v/>
      </c>
      <c r="H193" s="14" t="str">
        <f aca="false">IF(F193="","",IFERROR(F193-F192-(E193-E192),0))</f>
        <v/>
      </c>
    </row>
    <row r="194" customFormat="false" ht="15" hidden="false" customHeight="false" outlineLevel="0" collapsed="false">
      <c r="A194" s="13" t="str">
        <f aca="false">IF(Prices!A194="","",Prices!A194)</f>
        <v/>
      </c>
      <c r="B194" s="14" t="str">
        <f aca="false">IF(A194="","",Prices!C194)</f>
        <v/>
      </c>
      <c r="C194" s="15" t="str">
        <f aca="false">IF(A194="","",IFERROR(INDEX(FX!$B:$B,MATCH(A194,FX!$A:$A,1)),""))</f>
        <v/>
      </c>
      <c r="D194" s="14" t="str">
        <f aca="false">IF(A194="","",SUMIFS(Transactions!$D:$D,Transactions!$A:$A,"&lt;="&amp;A194,Transactions!$B:$B,Settings!$B$1))</f>
        <v/>
      </c>
      <c r="E194" s="14" t="str">
        <f aca="false">IF(A194="","",SUMIFS(Transactions!$C:$C,Transactions!$A:$A,"&lt;="&amp;A194,Transactions!$B:$B,Settings!$B$1)+SUMIFS(Transactions!$F:$F,Transactions!$A:$A,"&lt;="&amp;A194,Transactions!$B:$B,Settings!$B$1))</f>
        <v/>
      </c>
      <c r="F194" s="14" t="str">
        <f aca="false">IF(A194="","",IF(C194="","",D194*B194*C194))</f>
        <v/>
      </c>
      <c r="G194" s="14" t="str">
        <f aca="false">IF(F194="","",F194-E194)</f>
        <v/>
      </c>
      <c r="H194" s="14" t="str">
        <f aca="false">IF(F194="","",IFERROR(F194-F193-(E194-E193),0))</f>
        <v/>
      </c>
    </row>
    <row r="195" customFormat="false" ht="15" hidden="false" customHeight="false" outlineLevel="0" collapsed="false">
      <c r="A195" s="13" t="str">
        <f aca="false">IF(Prices!A195="","",Prices!A195)</f>
        <v/>
      </c>
      <c r="B195" s="14" t="str">
        <f aca="false">IF(A195="","",Prices!C195)</f>
        <v/>
      </c>
      <c r="C195" s="15" t="str">
        <f aca="false">IF(A195="","",IFERROR(INDEX(FX!$B:$B,MATCH(A195,FX!$A:$A,1)),""))</f>
        <v/>
      </c>
      <c r="D195" s="14" t="str">
        <f aca="false">IF(A195="","",SUMIFS(Transactions!$D:$D,Transactions!$A:$A,"&lt;="&amp;A195,Transactions!$B:$B,Settings!$B$1))</f>
        <v/>
      </c>
      <c r="E195" s="14" t="str">
        <f aca="false">IF(A195="","",SUMIFS(Transactions!$C:$C,Transactions!$A:$A,"&lt;="&amp;A195,Transactions!$B:$B,Settings!$B$1)+SUMIFS(Transactions!$F:$F,Transactions!$A:$A,"&lt;="&amp;A195,Transactions!$B:$B,Settings!$B$1))</f>
        <v/>
      </c>
      <c r="F195" s="14" t="str">
        <f aca="false">IF(A195="","",IF(C195="","",D195*B195*C195))</f>
        <v/>
      </c>
      <c r="G195" s="14" t="str">
        <f aca="false">IF(F195="","",F195-E195)</f>
        <v/>
      </c>
      <c r="H195" s="14" t="str">
        <f aca="false">IF(F195="","",IFERROR(F195-F194-(E195-E194),0))</f>
        <v/>
      </c>
    </row>
    <row r="196" customFormat="false" ht="15" hidden="false" customHeight="false" outlineLevel="0" collapsed="false">
      <c r="A196" s="13" t="str">
        <f aca="false">IF(Prices!A196="","",Prices!A196)</f>
        <v/>
      </c>
      <c r="B196" s="14" t="str">
        <f aca="false">IF(A196="","",Prices!C196)</f>
        <v/>
      </c>
      <c r="C196" s="15" t="str">
        <f aca="false">IF(A196="","",IFERROR(INDEX(FX!$B:$B,MATCH(A196,FX!$A:$A,1)),""))</f>
        <v/>
      </c>
      <c r="D196" s="14" t="str">
        <f aca="false">IF(A196="","",SUMIFS(Transactions!$D:$D,Transactions!$A:$A,"&lt;="&amp;A196,Transactions!$B:$B,Settings!$B$1))</f>
        <v/>
      </c>
      <c r="E196" s="14" t="str">
        <f aca="false">IF(A196="","",SUMIFS(Transactions!$C:$C,Transactions!$A:$A,"&lt;="&amp;A196,Transactions!$B:$B,Settings!$B$1)+SUMIFS(Transactions!$F:$F,Transactions!$A:$A,"&lt;="&amp;A196,Transactions!$B:$B,Settings!$B$1))</f>
        <v/>
      </c>
      <c r="F196" s="14" t="str">
        <f aca="false">IF(A196="","",IF(C196="","",D196*B196*C196))</f>
        <v/>
      </c>
      <c r="G196" s="14" t="str">
        <f aca="false">IF(F196="","",F196-E196)</f>
        <v/>
      </c>
      <c r="H196" s="14" t="str">
        <f aca="false">IF(F196="","",IFERROR(F196-F195-(E196-E195),0))</f>
        <v/>
      </c>
    </row>
    <row r="197" customFormat="false" ht="15" hidden="false" customHeight="false" outlineLevel="0" collapsed="false">
      <c r="A197" s="13" t="str">
        <f aca="false">IF(Prices!A197="","",Prices!A197)</f>
        <v/>
      </c>
      <c r="B197" s="14" t="str">
        <f aca="false">IF(A197="","",Prices!C197)</f>
        <v/>
      </c>
      <c r="C197" s="15" t="str">
        <f aca="false">IF(A197="","",IFERROR(INDEX(FX!$B:$B,MATCH(A197,FX!$A:$A,1)),""))</f>
        <v/>
      </c>
      <c r="D197" s="14" t="str">
        <f aca="false">IF(A197="","",SUMIFS(Transactions!$D:$D,Transactions!$A:$A,"&lt;="&amp;A197,Transactions!$B:$B,Settings!$B$1))</f>
        <v/>
      </c>
      <c r="E197" s="14" t="str">
        <f aca="false">IF(A197="","",SUMIFS(Transactions!$C:$C,Transactions!$A:$A,"&lt;="&amp;A197,Transactions!$B:$B,Settings!$B$1)+SUMIFS(Transactions!$F:$F,Transactions!$A:$A,"&lt;="&amp;A197,Transactions!$B:$B,Settings!$B$1))</f>
        <v/>
      </c>
      <c r="F197" s="14" t="str">
        <f aca="false">IF(A197="","",IF(C197="","",D197*B197*C197))</f>
        <v/>
      </c>
      <c r="G197" s="14" t="str">
        <f aca="false">IF(F197="","",F197-E197)</f>
        <v/>
      </c>
      <c r="H197" s="14" t="str">
        <f aca="false">IF(F197="","",IFERROR(F197-F196-(E197-E196),0))</f>
        <v/>
      </c>
    </row>
    <row r="198" customFormat="false" ht="15" hidden="false" customHeight="false" outlineLevel="0" collapsed="false">
      <c r="A198" s="13" t="str">
        <f aca="false">IF(Prices!A198="","",Prices!A198)</f>
        <v/>
      </c>
      <c r="B198" s="14" t="str">
        <f aca="false">IF(A198="","",Prices!C198)</f>
        <v/>
      </c>
      <c r="C198" s="15" t="str">
        <f aca="false">IF(A198="","",IFERROR(INDEX(FX!$B:$B,MATCH(A198,FX!$A:$A,1)),""))</f>
        <v/>
      </c>
      <c r="D198" s="14" t="str">
        <f aca="false">IF(A198="","",SUMIFS(Transactions!$D:$D,Transactions!$A:$A,"&lt;="&amp;A198,Transactions!$B:$B,Settings!$B$1))</f>
        <v/>
      </c>
      <c r="E198" s="14" t="str">
        <f aca="false">IF(A198="","",SUMIFS(Transactions!$C:$C,Transactions!$A:$A,"&lt;="&amp;A198,Transactions!$B:$B,Settings!$B$1)+SUMIFS(Transactions!$F:$F,Transactions!$A:$A,"&lt;="&amp;A198,Transactions!$B:$B,Settings!$B$1))</f>
        <v/>
      </c>
      <c r="F198" s="14" t="str">
        <f aca="false">IF(A198="","",IF(C198="","",D198*B198*C198))</f>
        <v/>
      </c>
      <c r="G198" s="14" t="str">
        <f aca="false">IF(F198="","",F198-E198)</f>
        <v/>
      </c>
      <c r="H198" s="14" t="str">
        <f aca="false">IF(F198="","",IFERROR(F198-F197-(E198-E197),0))</f>
        <v/>
      </c>
    </row>
    <row r="199" customFormat="false" ht="15" hidden="false" customHeight="false" outlineLevel="0" collapsed="false">
      <c r="A199" s="13" t="str">
        <f aca="false">IF(Prices!A199="","",Prices!A199)</f>
        <v/>
      </c>
      <c r="B199" s="14" t="str">
        <f aca="false">IF(A199="","",Prices!C199)</f>
        <v/>
      </c>
      <c r="C199" s="15" t="str">
        <f aca="false">IF(A199="","",IFERROR(INDEX(FX!$B:$B,MATCH(A199,FX!$A:$A,1)),""))</f>
        <v/>
      </c>
      <c r="D199" s="14" t="str">
        <f aca="false">IF(A199="","",SUMIFS(Transactions!$D:$D,Transactions!$A:$A,"&lt;="&amp;A199,Transactions!$B:$B,Settings!$B$1))</f>
        <v/>
      </c>
      <c r="E199" s="14" t="str">
        <f aca="false">IF(A199="","",SUMIFS(Transactions!$C:$C,Transactions!$A:$A,"&lt;="&amp;A199,Transactions!$B:$B,Settings!$B$1)+SUMIFS(Transactions!$F:$F,Transactions!$A:$A,"&lt;="&amp;A199,Transactions!$B:$B,Settings!$B$1))</f>
        <v/>
      </c>
      <c r="F199" s="14" t="str">
        <f aca="false">IF(A199="","",IF(C199="","",D199*B199*C199))</f>
        <v/>
      </c>
      <c r="G199" s="14" t="str">
        <f aca="false">IF(F199="","",F199-E199)</f>
        <v/>
      </c>
      <c r="H199" s="14" t="str">
        <f aca="false">IF(F199="","",IFERROR(F199-F198-(E199-E198),0))</f>
        <v/>
      </c>
    </row>
    <row r="200" customFormat="false" ht="15" hidden="false" customHeight="false" outlineLevel="0" collapsed="false">
      <c r="A200" s="13" t="str">
        <f aca="false">IF(Prices!A200="","",Prices!A200)</f>
        <v/>
      </c>
      <c r="B200" s="14" t="str">
        <f aca="false">IF(A200="","",Prices!C200)</f>
        <v/>
      </c>
      <c r="C200" s="15" t="str">
        <f aca="false">IF(A200="","",IFERROR(INDEX(FX!$B:$B,MATCH(A200,FX!$A:$A,1)),""))</f>
        <v/>
      </c>
      <c r="D200" s="14" t="str">
        <f aca="false">IF(A200="","",SUMIFS(Transactions!$D:$D,Transactions!$A:$A,"&lt;="&amp;A200,Transactions!$B:$B,Settings!$B$1))</f>
        <v/>
      </c>
      <c r="E200" s="14" t="str">
        <f aca="false">IF(A200="","",SUMIFS(Transactions!$C:$C,Transactions!$A:$A,"&lt;="&amp;A200,Transactions!$B:$B,Settings!$B$1)+SUMIFS(Transactions!$F:$F,Transactions!$A:$A,"&lt;="&amp;A200,Transactions!$B:$B,Settings!$B$1))</f>
        <v/>
      </c>
      <c r="F200" s="14" t="str">
        <f aca="false">IF(A200="","",IF(C200="","",D200*B200*C200))</f>
        <v/>
      </c>
      <c r="G200" s="14" t="str">
        <f aca="false">IF(F200="","",F200-E200)</f>
        <v/>
      </c>
      <c r="H200" s="14" t="str">
        <f aca="false">IF(F200="","",IFERROR(F200-F199-(E200-E199),0))</f>
        <v/>
      </c>
    </row>
    <row r="201" customFormat="false" ht="15" hidden="false" customHeight="false" outlineLevel="0" collapsed="false">
      <c r="A201" s="13" t="str">
        <f aca="false">IF(Prices!A201="","",Prices!A201)</f>
        <v/>
      </c>
      <c r="B201" s="14" t="str">
        <f aca="false">IF(A201="","",Prices!C201)</f>
        <v/>
      </c>
      <c r="C201" s="15" t="str">
        <f aca="false">IF(A201="","",IFERROR(INDEX(FX!$B:$B,MATCH(A201,FX!$A:$A,1)),""))</f>
        <v/>
      </c>
      <c r="D201" s="14" t="str">
        <f aca="false">IF(A201="","",SUMIFS(Transactions!$D:$D,Transactions!$A:$A,"&lt;="&amp;A201,Transactions!$B:$B,Settings!$B$1))</f>
        <v/>
      </c>
      <c r="E201" s="14" t="str">
        <f aca="false">IF(A201="","",SUMIFS(Transactions!$C:$C,Transactions!$A:$A,"&lt;="&amp;A201,Transactions!$B:$B,Settings!$B$1)+SUMIFS(Transactions!$F:$F,Transactions!$A:$A,"&lt;="&amp;A201,Transactions!$B:$B,Settings!$B$1))</f>
        <v/>
      </c>
      <c r="F201" s="14" t="str">
        <f aca="false">IF(A201="","",IF(C201="","",D201*B201*C201))</f>
        <v/>
      </c>
      <c r="G201" s="14" t="str">
        <f aca="false">IF(F201="","",F201-E201)</f>
        <v/>
      </c>
      <c r="H201" s="14" t="str">
        <f aca="false">IF(F201="","",IFERROR(F201-F200-(E201-E200),0))</f>
        <v/>
      </c>
    </row>
    <row r="202" customFormat="false" ht="15" hidden="false" customHeight="false" outlineLevel="0" collapsed="false">
      <c r="A202" s="13" t="str">
        <f aca="false">IF(Prices!A202="","",Prices!A202)</f>
        <v/>
      </c>
      <c r="B202" s="14" t="str">
        <f aca="false">IF(A202="","",Prices!C202)</f>
        <v/>
      </c>
      <c r="C202" s="15" t="str">
        <f aca="false">IF(A202="","",IFERROR(INDEX(FX!$B:$B,MATCH(A202,FX!$A:$A,1)),""))</f>
        <v/>
      </c>
      <c r="D202" s="14" t="str">
        <f aca="false">IF(A202="","",SUMIFS(Transactions!$D:$D,Transactions!$A:$A,"&lt;="&amp;A202,Transactions!$B:$B,Settings!$B$1))</f>
        <v/>
      </c>
      <c r="E202" s="14" t="str">
        <f aca="false">IF(A202="","",SUMIFS(Transactions!$C:$C,Transactions!$A:$A,"&lt;="&amp;A202,Transactions!$B:$B,Settings!$B$1)+SUMIFS(Transactions!$F:$F,Transactions!$A:$A,"&lt;="&amp;A202,Transactions!$B:$B,Settings!$B$1))</f>
        <v/>
      </c>
      <c r="F202" s="14" t="str">
        <f aca="false">IF(A202="","",IF(C202="","",D202*B202*C202))</f>
        <v/>
      </c>
      <c r="G202" s="14" t="str">
        <f aca="false">IF(F202="","",F202-E202)</f>
        <v/>
      </c>
      <c r="H202" s="14" t="str">
        <f aca="false">IF(F202="","",IFERROR(F202-F201-(E202-E201),0))</f>
        <v/>
      </c>
    </row>
    <row r="203" customFormat="false" ht="15" hidden="false" customHeight="false" outlineLevel="0" collapsed="false">
      <c r="A203" s="13" t="str">
        <f aca="false">IF(Prices!A203="","",Prices!A203)</f>
        <v/>
      </c>
      <c r="B203" s="14" t="str">
        <f aca="false">IF(A203="","",Prices!C203)</f>
        <v/>
      </c>
      <c r="C203" s="15" t="str">
        <f aca="false">IF(A203="","",IFERROR(INDEX(FX!$B:$B,MATCH(A203,FX!$A:$A,1)),""))</f>
        <v/>
      </c>
      <c r="D203" s="14" t="str">
        <f aca="false">IF(A203="","",SUMIFS(Transactions!$D:$D,Transactions!$A:$A,"&lt;="&amp;A203,Transactions!$B:$B,Settings!$B$1))</f>
        <v/>
      </c>
      <c r="E203" s="14" t="str">
        <f aca="false">IF(A203="","",SUMIFS(Transactions!$C:$C,Transactions!$A:$A,"&lt;="&amp;A203,Transactions!$B:$B,Settings!$B$1)+SUMIFS(Transactions!$F:$F,Transactions!$A:$A,"&lt;="&amp;A203,Transactions!$B:$B,Settings!$B$1))</f>
        <v/>
      </c>
      <c r="F203" s="14" t="str">
        <f aca="false">IF(A203="","",IF(C203="","",D203*B203*C203))</f>
        <v/>
      </c>
      <c r="G203" s="14" t="str">
        <f aca="false">IF(F203="","",F203-E203)</f>
        <v/>
      </c>
      <c r="H203" s="14" t="str">
        <f aca="false">IF(F203="","",IFERROR(F203-F202-(E203-E202),0))</f>
        <v/>
      </c>
    </row>
    <row r="204" customFormat="false" ht="15" hidden="false" customHeight="false" outlineLevel="0" collapsed="false">
      <c r="A204" s="13" t="str">
        <f aca="false">IF(Prices!A204="","",Prices!A204)</f>
        <v/>
      </c>
      <c r="B204" s="14" t="str">
        <f aca="false">IF(A204="","",Prices!C204)</f>
        <v/>
      </c>
      <c r="C204" s="15" t="str">
        <f aca="false">IF(A204="","",IFERROR(INDEX(FX!$B:$B,MATCH(A204,FX!$A:$A,1)),""))</f>
        <v/>
      </c>
      <c r="D204" s="14" t="str">
        <f aca="false">IF(A204="","",SUMIFS(Transactions!$D:$D,Transactions!$A:$A,"&lt;="&amp;A204,Transactions!$B:$B,Settings!$B$1))</f>
        <v/>
      </c>
      <c r="E204" s="14" t="str">
        <f aca="false">IF(A204="","",SUMIFS(Transactions!$C:$C,Transactions!$A:$A,"&lt;="&amp;A204,Transactions!$B:$B,Settings!$B$1)+SUMIFS(Transactions!$F:$F,Transactions!$A:$A,"&lt;="&amp;A204,Transactions!$B:$B,Settings!$B$1))</f>
        <v/>
      </c>
      <c r="F204" s="14" t="str">
        <f aca="false">IF(A204="","",IF(C204="","",D204*B204*C204))</f>
        <v/>
      </c>
      <c r="G204" s="14" t="str">
        <f aca="false">IF(F204="","",F204-E204)</f>
        <v/>
      </c>
      <c r="H204" s="14" t="str">
        <f aca="false">IF(F204="","",IFERROR(F204-F203-(E204-E203),0))</f>
        <v/>
      </c>
    </row>
    <row r="205" customFormat="false" ht="15" hidden="false" customHeight="false" outlineLevel="0" collapsed="false">
      <c r="A205" s="13" t="str">
        <f aca="false">IF(Prices!A205="","",Prices!A205)</f>
        <v/>
      </c>
      <c r="B205" s="14" t="str">
        <f aca="false">IF(A205="","",Prices!C205)</f>
        <v/>
      </c>
      <c r="C205" s="15" t="str">
        <f aca="false">IF(A205="","",IFERROR(INDEX(FX!$B:$B,MATCH(A205,FX!$A:$A,1)),""))</f>
        <v/>
      </c>
      <c r="D205" s="14" t="str">
        <f aca="false">IF(A205="","",SUMIFS(Transactions!$D:$D,Transactions!$A:$A,"&lt;="&amp;A205,Transactions!$B:$B,Settings!$B$1))</f>
        <v/>
      </c>
      <c r="E205" s="14" t="str">
        <f aca="false">IF(A205="","",SUMIFS(Transactions!$C:$C,Transactions!$A:$A,"&lt;="&amp;A205,Transactions!$B:$B,Settings!$B$1)+SUMIFS(Transactions!$F:$F,Transactions!$A:$A,"&lt;="&amp;A205,Transactions!$B:$B,Settings!$B$1))</f>
        <v/>
      </c>
      <c r="F205" s="14" t="str">
        <f aca="false">IF(A205="","",IF(C205="","",D205*B205*C205))</f>
        <v/>
      </c>
      <c r="G205" s="14" t="str">
        <f aca="false">IF(F205="","",F205-E205)</f>
        <v/>
      </c>
      <c r="H205" s="14" t="str">
        <f aca="false">IF(F205="","",IFERROR(F205-F204-(E205-E204),0))</f>
        <v/>
      </c>
    </row>
    <row r="206" customFormat="false" ht="15" hidden="false" customHeight="false" outlineLevel="0" collapsed="false">
      <c r="A206" s="13" t="str">
        <f aca="false">IF(Prices!A206="","",Prices!A206)</f>
        <v/>
      </c>
      <c r="B206" s="14" t="str">
        <f aca="false">IF(A206="","",Prices!C206)</f>
        <v/>
      </c>
      <c r="C206" s="15" t="str">
        <f aca="false">IF(A206="","",IFERROR(INDEX(FX!$B:$B,MATCH(A206,FX!$A:$A,1)),""))</f>
        <v/>
      </c>
      <c r="D206" s="14" t="str">
        <f aca="false">IF(A206="","",SUMIFS(Transactions!$D:$D,Transactions!$A:$A,"&lt;="&amp;A206,Transactions!$B:$B,Settings!$B$1))</f>
        <v/>
      </c>
      <c r="E206" s="14" t="str">
        <f aca="false">IF(A206="","",SUMIFS(Transactions!$C:$C,Transactions!$A:$A,"&lt;="&amp;A206,Transactions!$B:$B,Settings!$B$1)+SUMIFS(Transactions!$F:$F,Transactions!$A:$A,"&lt;="&amp;A206,Transactions!$B:$B,Settings!$B$1))</f>
        <v/>
      </c>
      <c r="F206" s="14" t="str">
        <f aca="false">IF(A206="","",IF(C206="","",D206*B206*C206))</f>
        <v/>
      </c>
      <c r="G206" s="14" t="str">
        <f aca="false">IF(F206="","",F206-E206)</f>
        <v/>
      </c>
      <c r="H206" s="14" t="str">
        <f aca="false">IF(F206="","",IFERROR(F206-F205-(E206-E205),0))</f>
        <v/>
      </c>
    </row>
    <row r="207" customFormat="false" ht="15" hidden="false" customHeight="false" outlineLevel="0" collapsed="false">
      <c r="A207" s="13" t="str">
        <f aca="false">IF(Prices!A207="","",Prices!A207)</f>
        <v/>
      </c>
      <c r="B207" s="14" t="str">
        <f aca="false">IF(A207="","",Prices!C207)</f>
        <v/>
      </c>
      <c r="C207" s="15" t="str">
        <f aca="false">IF(A207="","",IFERROR(INDEX(FX!$B:$B,MATCH(A207,FX!$A:$A,1)),""))</f>
        <v/>
      </c>
      <c r="D207" s="14" t="str">
        <f aca="false">IF(A207="","",SUMIFS(Transactions!$D:$D,Transactions!$A:$A,"&lt;="&amp;A207,Transactions!$B:$B,Settings!$B$1))</f>
        <v/>
      </c>
      <c r="E207" s="14" t="str">
        <f aca="false">IF(A207="","",SUMIFS(Transactions!$C:$C,Transactions!$A:$A,"&lt;="&amp;A207,Transactions!$B:$B,Settings!$B$1)+SUMIFS(Transactions!$F:$F,Transactions!$A:$A,"&lt;="&amp;A207,Transactions!$B:$B,Settings!$B$1))</f>
        <v/>
      </c>
      <c r="F207" s="14" t="str">
        <f aca="false">IF(A207="","",IF(C207="","",D207*B207*C207))</f>
        <v/>
      </c>
      <c r="G207" s="14" t="str">
        <f aca="false">IF(F207="","",F207-E207)</f>
        <v/>
      </c>
      <c r="H207" s="14" t="str">
        <f aca="false">IF(F207="","",IFERROR(F207-F206-(E207-E206),0))</f>
        <v/>
      </c>
    </row>
    <row r="208" customFormat="false" ht="15" hidden="false" customHeight="false" outlineLevel="0" collapsed="false">
      <c r="A208" s="13" t="str">
        <f aca="false">IF(Prices!A208="","",Prices!A208)</f>
        <v/>
      </c>
      <c r="B208" s="14" t="str">
        <f aca="false">IF(A208="","",Prices!C208)</f>
        <v/>
      </c>
      <c r="C208" s="15" t="str">
        <f aca="false">IF(A208="","",IFERROR(INDEX(FX!$B:$B,MATCH(A208,FX!$A:$A,1)),""))</f>
        <v/>
      </c>
      <c r="D208" s="14" t="str">
        <f aca="false">IF(A208="","",SUMIFS(Transactions!$D:$D,Transactions!$A:$A,"&lt;="&amp;A208,Transactions!$B:$B,Settings!$B$1))</f>
        <v/>
      </c>
      <c r="E208" s="14" t="str">
        <f aca="false">IF(A208="","",SUMIFS(Transactions!$C:$C,Transactions!$A:$A,"&lt;="&amp;A208,Transactions!$B:$B,Settings!$B$1)+SUMIFS(Transactions!$F:$F,Transactions!$A:$A,"&lt;="&amp;A208,Transactions!$B:$B,Settings!$B$1))</f>
        <v/>
      </c>
      <c r="F208" s="14" t="str">
        <f aca="false">IF(A208="","",IF(C208="","",D208*B208*C208))</f>
        <v/>
      </c>
      <c r="G208" s="14" t="str">
        <f aca="false">IF(F208="","",F208-E208)</f>
        <v/>
      </c>
      <c r="H208" s="14" t="str">
        <f aca="false">IF(F208="","",IFERROR(F208-F207-(E208-E207),0))</f>
        <v/>
      </c>
    </row>
    <row r="209" customFormat="false" ht="15" hidden="false" customHeight="false" outlineLevel="0" collapsed="false">
      <c r="A209" s="13" t="str">
        <f aca="false">IF(Prices!A209="","",Prices!A209)</f>
        <v/>
      </c>
      <c r="B209" s="14" t="str">
        <f aca="false">IF(A209="","",Prices!C209)</f>
        <v/>
      </c>
      <c r="C209" s="15" t="str">
        <f aca="false">IF(A209="","",IFERROR(INDEX(FX!$B:$B,MATCH(A209,FX!$A:$A,1)),""))</f>
        <v/>
      </c>
      <c r="D209" s="14" t="str">
        <f aca="false">IF(A209="","",SUMIFS(Transactions!$D:$D,Transactions!$A:$A,"&lt;="&amp;A209,Transactions!$B:$B,Settings!$B$1))</f>
        <v/>
      </c>
      <c r="E209" s="14" t="str">
        <f aca="false">IF(A209="","",SUMIFS(Transactions!$C:$C,Transactions!$A:$A,"&lt;="&amp;A209,Transactions!$B:$B,Settings!$B$1)+SUMIFS(Transactions!$F:$F,Transactions!$A:$A,"&lt;="&amp;A209,Transactions!$B:$B,Settings!$B$1))</f>
        <v/>
      </c>
      <c r="F209" s="14" t="str">
        <f aca="false">IF(A209="","",IF(C209="","",D209*B209*C209))</f>
        <v/>
      </c>
      <c r="G209" s="14" t="str">
        <f aca="false">IF(F209="","",F209-E209)</f>
        <v/>
      </c>
      <c r="H209" s="14" t="str">
        <f aca="false">IF(F209="","",IFERROR(F209-F208-(E209-E208),0))</f>
        <v/>
      </c>
    </row>
    <row r="210" customFormat="false" ht="15" hidden="false" customHeight="false" outlineLevel="0" collapsed="false">
      <c r="A210" s="13" t="str">
        <f aca="false">IF(Prices!A210="","",Prices!A210)</f>
        <v/>
      </c>
      <c r="B210" s="14" t="str">
        <f aca="false">IF(A210="","",Prices!C210)</f>
        <v/>
      </c>
      <c r="C210" s="15" t="str">
        <f aca="false">IF(A210="","",IFERROR(INDEX(FX!$B:$B,MATCH(A210,FX!$A:$A,1)),""))</f>
        <v/>
      </c>
      <c r="D210" s="14" t="str">
        <f aca="false">IF(A210="","",SUMIFS(Transactions!$D:$D,Transactions!$A:$A,"&lt;="&amp;A210,Transactions!$B:$B,Settings!$B$1))</f>
        <v/>
      </c>
      <c r="E210" s="14" t="str">
        <f aca="false">IF(A210="","",SUMIFS(Transactions!$C:$C,Transactions!$A:$A,"&lt;="&amp;A210,Transactions!$B:$B,Settings!$B$1)+SUMIFS(Transactions!$F:$F,Transactions!$A:$A,"&lt;="&amp;A210,Transactions!$B:$B,Settings!$B$1))</f>
        <v/>
      </c>
      <c r="F210" s="14" t="str">
        <f aca="false">IF(A210="","",IF(C210="","",D210*B210*C210))</f>
        <v/>
      </c>
      <c r="G210" s="14" t="str">
        <f aca="false">IF(F210="","",F210-E210)</f>
        <v/>
      </c>
      <c r="H210" s="14" t="str">
        <f aca="false">IF(F210="","",IFERROR(F210-F209-(E210-E209),0))</f>
        <v/>
      </c>
    </row>
    <row r="211" customFormat="false" ht="15" hidden="false" customHeight="false" outlineLevel="0" collapsed="false">
      <c r="A211" s="13" t="str">
        <f aca="false">IF(Prices!A211="","",Prices!A211)</f>
        <v/>
      </c>
      <c r="B211" s="14" t="str">
        <f aca="false">IF(A211="","",Prices!C211)</f>
        <v/>
      </c>
      <c r="C211" s="15" t="str">
        <f aca="false">IF(A211="","",IFERROR(INDEX(FX!$B:$B,MATCH(A211,FX!$A:$A,1)),""))</f>
        <v/>
      </c>
      <c r="D211" s="14" t="str">
        <f aca="false">IF(A211="","",SUMIFS(Transactions!$D:$D,Transactions!$A:$A,"&lt;="&amp;A211,Transactions!$B:$B,Settings!$B$1))</f>
        <v/>
      </c>
      <c r="E211" s="14" t="str">
        <f aca="false">IF(A211="","",SUMIFS(Transactions!$C:$C,Transactions!$A:$A,"&lt;="&amp;A211,Transactions!$B:$B,Settings!$B$1)+SUMIFS(Transactions!$F:$F,Transactions!$A:$A,"&lt;="&amp;A211,Transactions!$B:$B,Settings!$B$1))</f>
        <v/>
      </c>
      <c r="F211" s="14" t="str">
        <f aca="false">IF(A211="","",IF(C211="","",D211*B211*C211))</f>
        <v/>
      </c>
      <c r="G211" s="14" t="str">
        <f aca="false">IF(F211="","",F211-E211)</f>
        <v/>
      </c>
      <c r="H211" s="14" t="str">
        <f aca="false">IF(F211="","",IFERROR(F211-F210-(E211-E210),0))</f>
        <v/>
      </c>
    </row>
    <row r="212" customFormat="false" ht="15" hidden="false" customHeight="false" outlineLevel="0" collapsed="false">
      <c r="A212" s="13" t="str">
        <f aca="false">IF(Prices!A212="","",Prices!A212)</f>
        <v/>
      </c>
      <c r="B212" s="14" t="str">
        <f aca="false">IF(A212="","",Prices!C212)</f>
        <v/>
      </c>
      <c r="C212" s="15" t="str">
        <f aca="false">IF(A212="","",IFERROR(INDEX(FX!$B:$B,MATCH(A212,FX!$A:$A,1)),""))</f>
        <v/>
      </c>
      <c r="D212" s="14" t="str">
        <f aca="false">IF(A212="","",SUMIFS(Transactions!$D:$D,Transactions!$A:$A,"&lt;="&amp;A212,Transactions!$B:$B,Settings!$B$1))</f>
        <v/>
      </c>
      <c r="E212" s="14" t="str">
        <f aca="false">IF(A212="","",SUMIFS(Transactions!$C:$C,Transactions!$A:$A,"&lt;="&amp;A212,Transactions!$B:$B,Settings!$B$1)+SUMIFS(Transactions!$F:$F,Transactions!$A:$A,"&lt;="&amp;A212,Transactions!$B:$B,Settings!$B$1))</f>
        <v/>
      </c>
      <c r="F212" s="14" t="str">
        <f aca="false">IF(A212="","",IF(C212="","",D212*B212*C212))</f>
        <v/>
      </c>
      <c r="G212" s="14" t="str">
        <f aca="false">IF(F212="","",F212-E212)</f>
        <v/>
      </c>
      <c r="H212" s="14" t="str">
        <f aca="false">IF(F212="","",IFERROR(F212-F211-(E212-E211),0))</f>
        <v/>
      </c>
    </row>
    <row r="213" customFormat="false" ht="15" hidden="false" customHeight="false" outlineLevel="0" collapsed="false">
      <c r="A213" s="13" t="str">
        <f aca="false">IF(Prices!A213="","",Prices!A213)</f>
        <v/>
      </c>
      <c r="B213" s="14" t="str">
        <f aca="false">IF(A213="","",Prices!C213)</f>
        <v/>
      </c>
      <c r="C213" s="15" t="str">
        <f aca="false">IF(A213="","",IFERROR(INDEX(FX!$B:$B,MATCH(A213,FX!$A:$A,1)),""))</f>
        <v/>
      </c>
      <c r="D213" s="14" t="str">
        <f aca="false">IF(A213="","",SUMIFS(Transactions!$D:$D,Transactions!$A:$A,"&lt;="&amp;A213,Transactions!$B:$B,Settings!$B$1))</f>
        <v/>
      </c>
      <c r="E213" s="14" t="str">
        <f aca="false">IF(A213="","",SUMIFS(Transactions!$C:$C,Transactions!$A:$A,"&lt;="&amp;A213,Transactions!$B:$B,Settings!$B$1)+SUMIFS(Transactions!$F:$F,Transactions!$A:$A,"&lt;="&amp;A213,Transactions!$B:$B,Settings!$B$1))</f>
        <v/>
      </c>
      <c r="F213" s="14" t="str">
        <f aca="false">IF(A213="","",IF(C213="","",D213*B213*C213))</f>
        <v/>
      </c>
      <c r="G213" s="14" t="str">
        <f aca="false">IF(F213="","",F213-E213)</f>
        <v/>
      </c>
      <c r="H213" s="14" t="str">
        <f aca="false">IF(F213="","",IFERROR(F213-F212-(E213-E212),0))</f>
        <v/>
      </c>
    </row>
    <row r="214" customFormat="false" ht="15" hidden="false" customHeight="false" outlineLevel="0" collapsed="false">
      <c r="A214" s="13" t="str">
        <f aca="false">IF(Prices!A214="","",Prices!A214)</f>
        <v/>
      </c>
      <c r="B214" s="14" t="str">
        <f aca="false">IF(A214="","",Prices!C214)</f>
        <v/>
      </c>
      <c r="C214" s="15" t="str">
        <f aca="false">IF(A214="","",IFERROR(INDEX(FX!$B:$B,MATCH(A214,FX!$A:$A,1)),""))</f>
        <v/>
      </c>
      <c r="D214" s="14" t="str">
        <f aca="false">IF(A214="","",SUMIFS(Transactions!$D:$D,Transactions!$A:$A,"&lt;="&amp;A214,Transactions!$B:$B,Settings!$B$1))</f>
        <v/>
      </c>
      <c r="E214" s="14" t="str">
        <f aca="false">IF(A214="","",SUMIFS(Transactions!$C:$C,Transactions!$A:$A,"&lt;="&amp;A214,Transactions!$B:$B,Settings!$B$1)+SUMIFS(Transactions!$F:$F,Transactions!$A:$A,"&lt;="&amp;A214,Transactions!$B:$B,Settings!$B$1))</f>
        <v/>
      </c>
      <c r="F214" s="14" t="str">
        <f aca="false">IF(A214="","",IF(C214="","",D214*B214*C214))</f>
        <v/>
      </c>
      <c r="G214" s="14" t="str">
        <f aca="false">IF(F214="","",F214-E214)</f>
        <v/>
      </c>
      <c r="H214" s="14" t="str">
        <f aca="false">IF(F214="","",IFERROR(F214-F213-(E214-E213),0))</f>
        <v/>
      </c>
    </row>
    <row r="215" customFormat="false" ht="15" hidden="false" customHeight="false" outlineLevel="0" collapsed="false">
      <c r="A215" s="13" t="str">
        <f aca="false">IF(Prices!A215="","",Prices!A215)</f>
        <v/>
      </c>
      <c r="B215" s="14" t="str">
        <f aca="false">IF(A215="","",Prices!C215)</f>
        <v/>
      </c>
      <c r="C215" s="15" t="str">
        <f aca="false">IF(A215="","",IFERROR(INDEX(FX!$B:$B,MATCH(A215,FX!$A:$A,1)),""))</f>
        <v/>
      </c>
      <c r="D215" s="14" t="str">
        <f aca="false">IF(A215="","",SUMIFS(Transactions!$D:$D,Transactions!$A:$A,"&lt;="&amp;A215,Transactions!$B:$B,Settings!$B$1))</f>
        <v/>
      </c>
      <c r="E215" s="14" t="str">
        <f aca="false">IF(A215="","",SUMIFS(Transactions!$C:$C,Transactions!$A:$A,"&lt;="&amp;A215,Transactions!$B:$B,Settings!$B$1)+SUMIFS(Transactions!$F:$F,Transactions!$A:$A,"&lt;="&amp;A215,Transactions!$B:$B,Settings!$B$1))</f>
        <v/>
      </c>
      <c r="F215" s="14" t="str">
        <f aca="false">IF(A215="","",IF(C215="","",D215*B215*C215))</f>
        <v/>
      </c>
      <c r="G215" s="14" t="str">
        <f aca="false">IF(F215="","",F215-E215)</f>
        <v/>
      </c>
      <c r="H215" s="14" t="str">
        <f aca="false">IF(F215="","",IFERROR(F215-F214-(E215-E214),0))</f>
        <v/>
      </c>
    </row>
    <row r="216" customFormat="false" ht="15" hidden="false" customHeight="false" outlineLevel="0" collapsed="false">
      <c r="A216" s="13" t="str">
        <f aca="false">IF(Prices!A216="","",Prices!A216)</f>
        <v/>
      </c>
      <c r="B216" s="14" t="str">
        <f aca="false">IF(A216="","",Prices!C216)</f>
        <v/>
      </c>
      <c r="C216" s="15" t="str">
        <f aca="false">IF(A216="","",IFERROR(INDEX(FX!$B:$B,MATCH(A216,FX!$A:$A,1)),""))</f>
        <v/>
      </c>
      <c r="D216" s="14" t="str">
        <f aca="false">IF(A216="","",SUMIFS(Transactions!$D:$D,Transactions!$A:$A,"&lt;="&amp;A216,Transactions!$B:$B,Settings!$B$1))</f>
        <v/>
      </c>
      <c r="E216" s="14" t="str">
        <f aca="false">IF(A216="","",SUMIFS(Transactions!$C:$C,Transactions!$A:$A,"&lt;="&amp;A216,Transactions!$B:$B,Settings!$B$1)+SUMIFS(Transactions!$F:$F,Transactions!$A:$A,"&lt;="&amp;A216,Transactions!$B:$B,Settings!$B$1))</f>
        <v/>
      </c>
      <c r="F216" s="14" t="str">
        <f aca="false">IF(A216="","",IF(C216="","",D216*B216*C216))</f>
        <v/>
      </c>
      <c r="G216" s="14" t="str">
        <f aca="false">IF(F216="","",F216-E216)</f>
        <v/>
      </c>
      <c r="H216" s="14" t="str">
        <f aca="false">IF(F216="","",IFERROR(F216-F215-(E216-E215),0))</f>
        <v/>
      </c>
    </row>
    <row r="217" customFormat="false" ht="15" hidden="false" customHeight="false" outlineLevel="0" collapsed="false">
      <c r="A217" s="13" t="str">
        <f aca="false">IF(Prices!A217="","",Prices!A217)</f>
        <v/>
      </c>
      <c r="B217" s="14" t="str">
        <f aca="false">IF(A217="","",Prices!C217)</f>
        <v/>
      </c>
      <c r="C217" s="15" t="str">
        <f aca="false">IF(A217="","",IFERROR(INDEX(FX!$B:$B,MATCH(A217,FX!$A:$A,1)),""))</f>
        <v/>
      </c>
      <c r="D217" s="14" t="str">
        <f aca="false">IF(A217="","",SUMIFS(Transactions!$D:$D,Transactions!$A:$A,"&lt;="&amp;A217,Transactions!$B:$B,Settings!$B$1))</f>
        <v/>
      </c>
      <c r="E217" s="14" t="str">
        <f aca="false">IF(A217="","",SUMIFS(Transactions!$C:$C,Transactions!$A:$A,"&lt;="&amp;A217,Transactions!$B:$B,Settings!$B$1)+SUMIFS(Transactions!$F:$F,Transactions!$A:$A,"&lt;="&amp;A217,Transactions!$B:$B,Settings!$B$1))</f>
        <v/>
      </c>
      <c r="F217" s="14" t="str">
        <f aca="false">IF(A217="","",IF(C217="","",D217*B217*C217))</f>
        <v/>
      </c>
      <c r="G217" s="14" t="str">
        <f aca="false">IF(F217="","",F217-E217)</f>
        <v/>
      </c>
      <c r="H217" s="14" t="str">
        <f aca="false">IF(F217="","",IFERROR(F217-F216-(E217-E216),0))</f>
        <v/>
      </c>
    </row>
    <row r="218" customFormat="false" ht="15" hidden="false" customHeight="false" outlineLevel="0" collapsed="false">
      <c r="A218" s="13" t="str">
        <f aca="false">IF(Prices!A218="","",Prices!A218)</f>
        <v/>
      </c>
      <c r="B218" s="14" t="str">
        <f aca="false">IF(A218="","",Prices!C218)</f>
        <v/>
      </c>
      <c r="C218" s="15" t="str">
        <f aca="false">IF(A218="","",IFERROR(INDEX(FX!$B:$B,MATCH(A218,FX!$A:$A,1)),""))</f>
        <v/>
      </c>
      <c r="D218" s="14" t="str">
        <f aca="false">IF(A218="","",SUMIFS(Transactions!$D:$D,Transactions!$A:$A,"&lt;="&amp;A218,Transactions!$B:$B,Settings!$B$1))</f>
        <v/>
      </c>
      <c r="E218" s="14" t="str">
        <f aca="false">IF(A218="","",SUMIFS(Transactions!$C:$C,Transactions!$A:$A,"&lt;="&amp;A218,Transactions!$B:$B,Settings!$B$1)+SUMIFS(Transactions!$F:$F,Transactions!$A:$A,"&lt;="&amp;A218,Transactions!$B:$B,Settings!$B$1))</f>
        <v/>
      </c>
      <c r="F218" s="14" t="str">
        <f aca="false">IF(A218="","",IF(C218="","",D218*B218*C218))</f>
        <v/>
      </c>
      <c r="G218" s="14" t="str">
        <f aca="false">IF(F218="","",F218-E218)</f>
        <v/>
      </c>
      <c r="H218" s="14" t="str">
        <f aca="false">IF(F218="","",IFERROR(F218-F217-(E218-E217),0))</f>
        <v/>
      </c>
    </row>
    <row r="219" customFormat="false" ht="15" hidden="false" customHeight="false" outlineLevel="0" collapsed="false">
      <c r="A219" s="13" t="str">
        <f aca="false">IF(Prices!A219="","",Prices!A219)</f>
        <v/>
      </c>
      <c r="B219" s="14" t="str">
        <f aca="false">IF(A219="","",Prices!C219)</f>
        <v/>
      </c>
      <c r="C219" s="15" t="str">
        <f aca="false">IF(A219="","",IFERROR(INDEX(FX!$B:$B,MATCH(A219,FX!$A:$A,1)),""))</f>
        <v/>
      </c>
      <c r="D219" s="14" t="str">
        <f aca="false">IF(A219="","",SUMIFS(Transactions!$D:$D,Transactions!$A:$A,"&lt;="&amp;A219,Transactions!$B:$B,Settings!$B$1))</f>
        <v/>
      </c>
      <c r="E219" s="14" t="str">
        <f aca="false">IF(A219="","",SUMIFS(Transactions!$C:$C,Transactions!$A:$A,"&lt;="&amp;A219,Transactions!$B:$B,Settings!$B$1)+SUMIFS(Transactions!$F:$F,Transactions!$A:$A,"&lt;="&amp;A219,Transactions!$B:$B,Settings!$B$1))</f>
        <v/>
      </c>
      <c r="F219" s="14" t="str">
        <f aca="false">IF(A219="","",IF(C219="","",D219*B219*C219))</f>
        <v/>
      </c>
      <c r="G219" s="14" t="str">
        <f aca="false">IF(F219="","",F219-E219)</f>
        <v/>
      </c>
      <c r="H219" s="14" t="str">
        <f aca="false">IF(F219="","",IFERROR(F219-F218-(E219-E218),0))</f>
        <v/>
      </c>
    </row>
    <row r="220" customFormat="false" ht="15" hidden="false" customHeight="false" outlineLevel="0" collapsed="false">
      <c r="A220" s="13" t="str">
        <f aca="false">IF(Prices!A220="","",Prices!A220)</f>
        <v/>
      </c>
      <c r="B220" s="14" t="str">
        <f aca="false">IF(A220="","",Prices!C220)</f>
        <v/>
      </c>
      <c r="C220" s="15" t="str">
        <f aca="false">IF(A220="","",IFERROR(INDEX(FX!$B:$B,MATCH(A220,FX!$A:$A,1)),""))</f>
        <v/>
      </c>
      <c r="D220" s="14" t="str">
        <f aca="false">IF(A220="","",SUMIFS(Transactions!$D:$D,Transactions!$A:$A,"&lt;="&amp;A220,Transactions!$B:$B,Settings!$B$1))</f>
        <v/>
      </c>
      <c r="E220" s="14" t="str">
        <f aca="false">IF(A220="","",SUMIFS(Transactions!$C:$C,Transactions!$A:$A,"&lt;="&amp;A220,Transactions!$B:$B,Settings!$B$1)+SUMIFS(Transactions!$F:$F,Transactions!$A:$A,"&lt;="&amp;A220,Transactions!$B:$B,Settings!$B$1))</f>
        <v/>
      </c>
      <c r="F220" s="14" t="str">
        <f aca="false">IF(A220="","",IF(C220="","",D220*B220*C220))</f>
        <v/>
      </c>
      <c r="G220" s="14" t="str">
        <f aca="false">IF(F220="","",F220-E220)</f>
        <v/>
      </c>
      <c r="H220" s="14" t="str">
        <f aca="false">IF(F220="","",IFERROR(F220-F219-(E220-E219),0))</f>
        <v/>
      </c>
    </row>
    <row r="221" customFormat="false" ht="15" hidden="false" customHeight="false" outlineLevel="0" collapsed="false">
      <c r="A221" s="13" t="str">
        <f aca="false">IF(Prices!A221="","",Prices!A221)</f>
        <v/>
      </c>
      <c r="B221" s="14" t="str">
        <f aca="false">IF(A221="","",Prices!C221)</f>
        <v/>
      </c>
      <c r="C221" s="15" t="str">
        <f aca="false">IF(A221="","",IFERROR(INDEX(FX!$B:$B,MATCH(A221,FX!$A:$A,1)),""))</f>
        <v/>
      </c>
      <c r="D221" s="14" t="str">
        <f aca="false">IF(A221="","",SUMIFS(Transactions!$D:$D,Transactions!$A:$A,"&lt;="&amp;A221,Transactions!$B:$B,Settings!$B$1))</f>
        <v/>
      </c>
      <c r="E221" s="14" t="str">
        <f aca="false">IF(A221="","",SUMIFS(Transactions!$C:$C,Transactions!$A:$A,"&lt;="&amp;A221,Transactions!$B:$B,Settings!$B$1)+SUMIFS(Transactions!$F:$F,Transactions!$A:$A,"&lt;="&amp;A221,Transactions!$B:$B,Settings!$B$1))</f>
        <v/>
      </c>
      <c r="F221" s="14" t="str">
        <f aca="false">IF(A221="","",IF(C221="","",D221*B221*C221))</f>
        <v/>
      </c>
      <c r="G221" s="14" t="str">
        <f aca="false">IF(F221="","",F221-E221)</f>
        <v/>
      </c>
      <c r="H221" s="14" t="str">
        <f aca="false">IF(F221="","",IFERROR(F221-F220-(E221-E220),0))</f>
        <v/>
      </c>
    </row>
    <row r="222" customFormat="false" ht="15" hidden="false" customHeight="false" outlineLevel="0" collapsed="false">
      <c r="A222" s="13" t="str">
        <f aca="false">IF(Prices!A222="","",Prices!A222)</f>
        <v/>
      </c>
      <c r="B222" s="14" t="str">
        <f aca="false">IF(A222="","",Prices!C222)</f>
        <v/>
      </c>
      <c r="C222" s="15" t="str">
        <f aca="false">IF(A222="","",IFERROR(INDEX(FX!$B:$B,MATCH(A222,FX!$A:$A,1)),""))</f>
        <v/>
      </c>
      <c r="D222" s="14" t="str">
        <f aca="false">IF(A222="","",SUMIFS(Transactions!$D:$D,Transactions!$A:$A,"&lt;="&amp;A222,Transactions!$B:$B,Settings!$B$1))</f>
        <v/>
      </c>
      <c r="E222" s="14" t="str">
        <f aca="false">IF(A222="","",SUMIFS(Transactions!$C:$C,Transactions!$A:$A,"&lt;="&amp;A222,Transactions!$B:$B,Settings!$B$1)+SUMIFS(Transactions!$F:$F,Transactions!$A:$A,"&lt;="&amp;A222,Transactions!$B:$B,Settings!$B$1))</f>
        <v/>
      </c>
      <c r="F222" s="14" t="str">
        <f aca="false">IF(A222="","",IF(C222="","",D222*B222*C222))</f>
        <v/>
      </c>
      <c r="G222" s="14" t="str">
        <f aca="false">IF(F222="","",F222-E222)</f>
        <v/>
      </c>
      <c r="H222" s="14" t="str">
        <f aca="false">IF(F222="","",IFERROR(F222-F221-(E222-E221),0))</f>
        <v/>
      </c>
    </row>
    <row r="223" customFormat="false" ht="15" hidden="false" customHeight="false" outlineLevel="0" collapsed="false">
      <c r="A223" s="13" t="str">
        <f aca="false">IF(Prices!A223="","",Prices!A223)</f>
        <v/>
      </c>
      <c r="B223" s="14" t="str">
        <f aca="false">IF(A223="","",Prices!C223)</f>
        <v/>
      </c>
      <c r="C223" s="15" t="str">
        <f aca="false">IF(A223="","",IFERROR(INDEX(FX!$B:$B,MATCH(A223,FX!$A:$A,1)),""))</f>
        <v/>
      </c>
      <c r="D223" s="14" t="str">
        <f aca="false">IF(A223="","",SUMIFS(Transactions!$D:$D,Transactions!$A:$A,"&lt;="&amp;A223,Transactions!$B:$B,Settings!$B$1))</f>
        <v/>
      </c>
      <c r="E223" s="14" t="str">
        <f aca="false">IF(A223="","",SUMIFS(Transactions!$C:$C,Transactions!$A:$A,"&lt;="&amp;A223,Transactions!$B:$B,Settings!$B$1)+SUMIFS(Transactions!$F:$F,Transactions!$A:$A,"&lt;="&amp;A223,Transactions!$B:$B,Settings!$B$1))</f>
        <v/>
      </c>
      <c r="F223" s="14" t="str">
        <f aca="false">IF(A223="","",IF(C223="","",D223*B223*C223))</f>
        <v/>
      </c>
      <c r="G223" s="14" t="str">
        <f aca="false">IF(F223="","",F223-E223)</f>
        <v/>
      </c>
      <c r="H223" s="14" t="str">
        <f aca="false">IF(F223="","",IFERROR(F223-F222-(E223-E222),0))</f>
        <v/>
      </c>
    </row>
    <row r="224" customFormat="false" ht="15" hidden="false" customHeight="false" outlineLevel="0" collapsed="false">
      <c r="A224" s="13" t="str">
        <f aca="false">IF(Prices!A224="","",Prices!A224)</f>
        <v/>
      </c>
      <c r="B224" s="14" t="str">
        <f aca="false">IF(A224="","",Prices!C224)</f>
        <v/>
      </c>
      <c r="C224" s="15" t="str">
        <f aca="false">IF(A224="","",IFERROR(INDEX(FX!$B:$B,MATCH(A224,FX!$A:$A,1)),""))</f>
        <v/>
      </c>
      <c r="D224" s="14" t="str">
        <f aca="false">IF(A224="","",SUMIFS(Transactions!$D:$D,Transactions!$A:$A,"&lt;="&amp;A224,Transactions!$B:$B,Settings!$B$1))</f>
        <v/>
      </c>
      <c r="E224" s="14" t="str">
        <f aca="false">IF(A224="","",SUMIFS(Transactions!$C:$C,Transactions!$A:$A,"&lt;="&amp;A224,Transactions!$B:$B,Settings!$B$1)+SUMIFS(Transactions!$F:$F,Transactions!$A:$A,"&lt;="&amp;A224,Transactions!$B:$B,Settings!$B$1))</f>
        <v/>
      </c>
      <c r="F224" s="14" t="str">
        <f aca="false">IF(A224="","",IF(C224="","",D224*B224*C224))</f>
        <v/>
      </c>
      <c r="G224" s="14" t="str">
        <f aca="false">IF(F224="","",F224-E224)</f>
        <v/>
      </c>
      <c r="H224" s="14" t="str">
        <f aca="false">IF(F224="","",IFERROR(F224-F223-(E224-E223),0))</f>
        <v/>
      </c>
    </row>
    <row r="225" customFormat="false" ht="15" hidden="false" customHeight="false" outlineLevel="0" collapsed="false">
      <c r="A225" s="13" t="str">
        <f aca="false">IF(Prices!A225="","",Prices!A225)</f>
        <v/>
      </c>
      <c r="B225" s="14" t="str">
        <f aca="false">IF(A225="","",Prices!C225)</f>
        <v/>
      </c>
      <c r="C225" s="15" t="str">
        <f aca="false">IF(A225="","",IFERROR(INDEX(FX!$B:$B,MATCH(A225,FX!$A:$A,1)),""))</f>
        <v/>
      </c>
      <c r="D225" s="14" t="str">
        <f aca="false">IF(A225="","",SUMIFS(Transactions!$D:$D,Transactions!$A:$A,"&lt;="&amp;A225,Transactions!$B:$B,Settings!$B$1))</f>
        <v/>
      </c>
      <c r="E225" s="14" t="str">
        <f aca="false">IF(A225="","",SUMIFS(Transactions!$C:$C,Transactions!$A:$A,"&lt;="&amp;A225,Transactions!$B:$B,Settings!$B$1)+SUMIFS(Transactions!$F:$F,Transactions!$A:$A,"&lt;="&amp;A225,Transactions!$B:$B,Settings!$B$1))</f>
        <v/>
      </c>
      <c r="F225" s="14" t="str">
        <f aca="false">IF(A225="","",IF(C225="","",D225*B225*C225))</f>
        <v/>
      </c>
      <c r="G225" s="14" t="str">
        <f aca="false">IF(F225="","",F225-E225)</f>
        <v/>
      </c>
      <c r="H225" s="14" t="str">
        <f aca="false">IF(F225="","",IFERROR(F225-F224-(E225-E224),0))</f>
        <v/>
      </c>
    </row>
    <row r="226" customFormat="false" ht="15" hidden="false" customHeight="false" outlineLevel="0" collapsed="false">
      <c r="A226" s="13" t="str">
        <f aca="false">IF(Prices!A226="","",Prices!A226)</f>
        <v/>
      </c>
      <c r="B226" s="14" t="str">
        <f aca="false">IF(A226="","",Prices!C226)</f>
        <v/>
      </c>
      <c r="C226" s="15" t="str">
        <f aca="false">IF(A226="","",IFERROR(INDEX(FX!$B:$B,MATCH(A226,FX!$A:$A,1)),""))</f>
        <v/>
      </c>
      <c r="D226" s="14" t="str">
        <f aca="false">IF(A226="","",SUMIFS(Transactions!$D:$D,Transactions!$A:$A,"&lt;="&amp;A226,Transactions!$B:$B,Settings!$B$1))</f>
        <v/>
      </c>
      <c r="E226" s="14" t="str">
        <f aca="false">IF(A226="","",SUMIFS(Transactions!$C:$C,Transactions!$A:$A,"&lt;="&amp;A226,Transactions!$B:$B,Settings!$B$1)+SUMIFS(Transactions!$F:$F,Transactions!$A:$A,"&lt;="&amp;A226,Transactions!$B:$B,Settings!$B$1))</f>
        <v/>
      </c>
      <c r="F226" s="14" t="str">
        <f aca="false">IF(A226="","",IF(C226="","",D226*B226*C226))</f>
        <v/>
      </c>
      <c r="G226" s="14" t="str">
        <f aca="false">IF(F226="","",F226-E226)</f>
        <v/>
      </c>
      <c r="H226" s="14" t="str">
        <f aca="false">IF(F226="","",IFERROR(F226-F225-(E226-E225),0))</f>
        <v/>
      </c>
    </row>
    <row r="227" customFormat="false" ht="15" hidden="false" customHeight="false" outlineLevel="0" collapsed="false">
      <c r="A227" s="13" t="str">
        <f aca="false">IF(Prices!A227="","",Prices!A227)</f>
        <v/>
      </c>
      <c r="B227" s="14" t="str">
        <f aca="false">IF(A227="","",Prices!C227)</f>
        <v/>
      </c>
      <c r="C227" s="15" t="str">
        <f aca="false">IF(A227="","",IFERROR(INDEX(FX!$B:$B,MATCH(A227,FX!$A:$A,1)),""))</f>
        <v/>
      </c>
      <c r="D227" s="14" t="str">
        <f aca="false">IF(A227="","",SUMIFS(Transactions!$D:$D,Transactions!$A:$A,"&lt;="&amp;A227,Transactions!$B:$B,Settings!$B$1))</f>
        <v/>
      </c>
      <c r="E227" s="14" t="str">
        <f aca="false">IF(A227="","",SUMIFS(Transactions!$C:$C,Transactions!$A:$A,"&lt;="&amp;A227,Transactions!$B:$B,Settings!$B$1)+SUMIFS(Transactions!$F:$F,Transactions!$A:$A,"&lt;="&amp;A227,Transactions!$B:$B,Settings!$B$1))</f>
        <v/>
      </c>
      <c r="F227" s="14" t="str">
        <f aca="false">IF(A227="","",IF(C227="","",D227*B227*C227))</f>
        <v/>
      </c>
      <c r="G227" s="14" t="str">
        <f aca="false">IF(F227="","",F227-E227)</f>
        <v/>
      </c>
      <c r="H227" s="14" t="str">
        <f aca="false">IF(F227="","",IFERROR(F227-F226-(E227-E226),0))</f>
        <v/>
      </c>
    </row>
    <row r="228" customFormat="false" ht="15" hidden="false" customHeight="false" outlineLevel="0" collapsed="false">
      <c r="A228" s="13" t="str">
        <f aca="false">IF(Prices!A228="","",Prices!A228)</f>
        <v/>
      </c>
      <c r="B228" s="14" t="str">
        <f aca="false">IF(A228="","",Prices!C228)</f>
        <v/>
      </c>
      <c r="C228" s="15" t="str">
        <f aca="false">IF(A228="","",IFERROR(INDEX(FX!$B:$B,MATCH(A228,FX!$A:$A,1)),""))</f>
        <v/>
      </c>
      <c r="D228" s="14" t="str">
        <f aca="false">IF(A228="","",SUMIFS(Transactions!$D:$D,Transactions!$A:$A,"&lt;="&amp;A228,Transactions!$B:$B,Settings!$B$1))</f>
        <v/>
      </c>
      <c r="E228" s="14" t="str">
        <f aca="false">IF(A228="","",SUMIFS(Transactions!$C:$C,Transactions!$A:$A,"&lt;="&amp;A228,Transactions!$B:$B,Settings!$B$1)+SUMIFS(Transactions!$F:$F,Transactions!$A:$A,"&lt;="&amp;A228,Transactions!$B:$B,Settings!$B$1))</f>
        <v/>
      </c>
      <c r="F228" s="14" t="str">
        <f aca="false">IF(A228="","",IF(C228="","",D228*B228*C228))</f>
        <v/>
      </c>
      <c r="G228" s="14" t="str">
        <f aca="false">IF(F228="","",F228-E228)</f>
        <v/>
      </c>
      <c r="H228" s="14" t="str">
        <f aca="false">IF(F228="","",IFERROR(F228-F227-(E228-E227),0))</f>
        <v/>
      </c>
    </row>
    <row r="229" customFormat="false" ht="15" hidden="false" customHeight="false" outlineLevel="0" collapsed="false">
      <c r="A229" s="13" t="str">
        <f aca="false">IF(Prices!A229="","",Prices!A229)</f>
        <v/>
      </c>
      <c r="B229" s="14" t="str">
        <f aca="false">IF(A229="","",Prices!C229)</f>
        <v/>
      </c>
      <c r="C229" s="15" t="str">
        <f aca="false">IF(A229="","",IFERROR(INDEX(FX!$B:$B,MATCH(A229,FX!$A:$A,1)),""))</f>
        <v/>
      </c>
      <c r="D229" s="14" t="str">
        <f aca="false">IF(A229="","",SUMIFS(Transactions!$D:$D,Transactions!$A:$A,"&lt;="&amp;A229,Transactions!$B:$B,Settings!$B$1))</f>
        <v/>
      </c>
      <c r="E229" s="14" t="str">
        <f aca="false">IF(A229="","",SUMIFS(Transactions!$C:$C,Transactions!$A:$A,"&lt;="&amp;A229,Transactions!$B:$B,Settings!$B$1)+SUMIFS(Transactions!$F:$F,Transactions!$A:$A,"&lt;="&amp;A229,Transactions!$B:$B,Settings!$B$1))</f>
        <v/>
      </c>
      <c r="F229" s="14" t="str">
        <f aca="false">IF(A229="","",IF(C229="","",D229*B229*C229))</f>
        <v/>
      </c>
      <c r="G229" s="14" t="str">
        <f aca="false">IF(F229="","",F229-E229)</f>
        <v/>
      </c>
      <c r="H229" s="14" t="str">
        <f aca="false">IF(F229="","",IFERROR(F229-F228-(E229-E228),0))</f>
        <v/>
      </c>
    </row>
    <row r="230" customFormat="false" ht="15" hidden="false" customHeight="false" outlineLevel="0" collapsed="false">
      <c r="A230" s="13" t="str">
        <f aca="false">IF(Prices!A230="","",Prices!A230)</f>
        <v/>
      </c>
      <c r="B230" s="14" t="str">
        <f aca="false">IF(A230="","",Prices!C230)</f>
        <v/>
      </c>
      <c r="C230" s="15" t="str">
        <f aca="false">IF(A230="","",IFERROR(INDEX(FX!$B:$B,MATCH(A230,FX!$A:$A,1)),""))</f>
        <v/>
      </c>
      <c r="D230" s="14" t="str">
        <f aca="false">IF(A230="","",SUMIFS(Transactions!$D:$D,Transactions!$A:$A,"&lt;="&amp;A230,Transactions!$B:$B,Settings!$B$1))</f>
        <v/>
      </c>
      <c r="E230" s="14" t="str">
        <f aca="false">IF(A230="","",SUMIFS(Transactions!$C:$C,Transactions!$A:$A,"&lt;="&amp;A230,Transactions!$B:$B,Settings!$B$1)+SUMIFS(Transactions!$F:$F,Transactions!$A:$A,"&lt;="&amp;A230,Transactions!$B:$B,Settings!$B$1))</f>
        <v/>
      </c>
      <c r="F230" s="14" t="str">
        <f aca="false">IF(A230="","",IF(C230="","",D230*B230*C230))</f>
        <v/>
      </c>
      <c r="G230" s="14" t="str">
        <f aca="false">IF(F230="","",F230-E230)</f>
        <v/>
      </c>
      <c r="H230" s="14" t="str">
        <f aca="false">IF(F230="","",IFERROR(F230-F229-(E230-E229),0))</f>
        <v/>
      </c>
    </row>
    <row r="231" customFormat="false" ht="15" hidden="false" customHeight="false" outlineLevel="0" collapsed="false">
      <c r="A231" s="13" t="str">
        <f aca="false">IF(Prices!A231="","",Prices!A231)</f>
        <v/>
      </c>
      <c r="B231" s="14" t="str">
        <f aca="false">IF(A231="","",Prices!C231)</f>
        <v/>
      </c>
      <c r="C231" s="15" t="str">
        <f aca="false">IF(A231="","",IFERROR(INDEX(FX!$B:$B,MATCH(A231,FX!$A:$A,1)),""))</f>
        <v/>
      </c>
      <c r="D231" s="14" t="str">
        <f aca="false">IF(A231="","",SUMIFS(Transactions!$D:$D,Transactions!$A:$A,"&lt;="&amp;A231,Transactions!$B:$B,Settings!$B$1))</f>
        <v/>
      </c>
      <c r="E231" s="14" t="str">
        <f aca="false">IF(A231="","",SUMIFS(Transactions!$C:$C,Transactions!$A:$A,"&lt;="&amp;A231,Transactions!$B:$B,Settings!$B$1)+SUMIFS(Transactions!$F:$F,Transactions!$A:$A,"&lt;="&amp;A231,Transactions!$B:$B,Settings!$B$1))</f>
        <v/>
      </c>
      <c r="F231" s="14" t="str">
        <f aca="false">IF(A231="","",IF(C231="","",D231*B231*C231))</f>
        <v/>
      </c>
      <c r="G231" s="14" t="str">
        <f aca="false">IF(F231="","",F231-E231)</f>
        <v/>
      </c>
      <c r="H231" s="14" t="str">
        <f aca="false">IF(F231="","",IFERROR(F231-F230-(E231-E230),0))</f>
        <v/>
      </c>
    </row>
    <row r="232" customFormat="false" ht="15" hidden="false" customHeight="false" outlineLevel="0" collapsed="false">
      <c r="A232" s="13" t="str">
        <f aca="false">IF(Prices!A232="","",Prices!A232)</f>
        <v/>
      </c>
      <c r="B232" s="14" t="str">
        <f aca="false">IF(A232="","",Prices!C232)</f>
        <v/>
      </c>
      <c r="C232" s="15" t="str">
        <f aca="false">IF(A232="","",IFERROR(INDEX(FX!$B:$B,MATCH(A232,FX!$A:$A,1)),""))</f>
        <v/>
      </c>
      <c r="D232" s="14" t="str">
        <f aca="false">IF(A232="","",SUMIFS(Transactions!$D:$D,Transactions!$A:$A,"&lt;="&amp;A232,Transactions!$B:$B,Settings!$B$1))</f>
        <v/>
      </c>
      <c r="E232" s="14" t="str">
        <f aca="false">IF(A232="","",SUMIFS(Transactions!$C:$C,Transactions!$A:$A,"&lt;="&amp;A232,Transactions!$B:$B,Settings!$B$1)+SUMIFS(Transactions!$F:$F,Transactions!$A:$A,"&lt;="&amp;A232,Transactions!$B:$B,Settings!$B$1))</f>
        <v/>
      </c>
      <c r="F232" s="14" t="str">
        <f aca="false">IF(A232="","",IF(C232="","",D232*B232*C232))</f>
        <v/>
      </c>
      <c r="G232" s="14" t="str">
        <f aca="false">IF(F232="","",F232-E232)</f>
        <v/>
      </c>
      <c r="H232" s="14" t="str">
        <f aca="false">IF(F232="","",IFERROR(F232-F231-(E232-E231),0))</f>
        <v/>
      </c>
    </row>
    <row r="233" customFormat="false" ht="15" hidden="false" customHeight="false" outlineLevel="0" collapsed="false">
      <c r="A233" s="13" t="str">
        <f aca="false">IF(Prices!A233="","",Prices!A233)</f>
        <v/>
      </c>
      <c r="B233" s="14" t="str">
        <f aca="false">IF(A233="","",Prices!C233)</f>
        <v/>
      </c>
      <c r="C233" s="15" t="str">
        <f aca="false">IF(A233="","",IFERROR(INDEX(FX!$B:$B,MATCH(A233,FX!$A:$A,1)),""))</f>
        <v/>
      </c>
      <c r="D233" s="14" t="str">
        <f aca="false">IF(A233="","",SUMIFS(Transactions!$D:$D,Transactions!$A:$A,"&lt;="&amp;A233,Transactions!$B:$B,Settings!$B$1))</f>
        <v/>
      </c>
      <c r="E233" s="14" t="str">
        <f aca="false">IF(A233="","",SUMIFS(Transactions!$C:$C,Transactions!$A:$A,"&lt;="&amp;A233,Transactions!$B:$B,Settings!$B$1)+SUMIFS(Transactions!$F:$F,Transactions!$A:$A,"&lt;="&amp;A233,Transactions!$B:$B,Settings!$B$1))</f>
        <v/>
      </c>
      <c r="F233" s="14" t="str">
        <f aca="false">IF(A233="","",IF(C233="","",D233*B233*C233))</f>
        <v/>
      </c>
      <c r="G233" s="14" t="str">
        <f aca="false">IF(F233="","",F233-E233)</f>
        <v/>
      </c>
      <c r="H233" s="14" t="str">
        <f aca="false">IF(F233="","",IFERROR(F233-F232-(E233-E232),0))</f>
        <v/>
      </c>
    </row>
    <row r="234" customFormat="false" ht="15" hidden="false" customHeight="false" outlineLevel="0" collapsed="false">
      <c r="A234" s="13" t="str">
        <f aca="false">IF(Prices!A234="","",Prices!A234)</f>
        <v/>
      </c>
      <c r="B234" s="14" t="str">
        <f aca="false">IF(A234="","",Prices!C234)</f>
        <v/>
      </c>
      <c r="C234" s="15" t="str">
        <f aca="false">IF(A234="","",IFERROR(INDEX(FX!$B:$B,MATCH(A234,FX!$A:$A,1)),""))</f>
        <v/>
      </c>
      <c r="D234" s="14" t="str">
        <f aca="false">IF(A234="","",SUMIFS(Transactions!$D:$D,Transactions!$A:$A,"&lt;="&amp;A234,Transactions!$B:$B,Settings!$B$1))</f>
        <v/>
      </c>
      <c r="E234" s="14" t="str">
        <f aca="false">IF(A234="","",SUMIFS(Transactions!$C:$C,Transactions!$A:$A,"&lt;="&amp;A234,Transactions!$B:$B,Settings!$B$1)+SUMIFS(Transactions!$F:$F,Transactions!$A:$A,"&lt;="&amp;A234,Transactions!$B:$B,Settings!$B$1))</f>
        <v/>
      </c>
      <c r="F234" s="14" t="str">
        <f aca="false">IF(A234="","",IF(C234="","",D234*B234*C234))</f>
        <v/>
      </c>
      <c r="G234" s="14" t="str">
        <f aca="false">IF(F234="","",F234-E234)</f>
        <v/>
      </c>
      <c r="H234" s="14" t="str">
        <f aca="false">IF(F234="","",IFERROR(F234-F233-(E234-E233),0))</f>
        <v/>
      </c>
    </row>
    <row r="235" customFormat="false" ht="15" hidden="false" customHeight="false" outlineLevel="0" collapsed="false">
      <c r="A235" s="13" t="str">
        <f aca="false">IF(Prices!A235="","",Prices!A235)</f>
        <v/>
      </c>
      <c r="B235" s="14" t="str">
        <f aca="false">IF(A235="","",Prices!C235)</f>
        <v/>
      </c>
      <c r="C235" s="15" t="str">
        <f aca="false">IF(A235="","",IFERROR(INDEX(FX!$B:$B,MATCH(A235,FX!$A:$A,1)),""))</f>
        <v/>
      </c>
      <c r="D235" s="14" t="str">
        <f aca="false">IF(A235="","",SUMIFS(Transactions!$D:$D,Transactions!$A:$A,"&lt;="&amp;A235,Transactions!$B:$B,Settings!$B$1))</f>
        <v/>
      </c>
      <c r="E235" s="14" t="str">
        <f aca="false">IF(A235="","",SUMIFS(Transactions!$C:$C,Transactions!$A:$A,"&lt;="&amp;A235,Transactions!$B:$B,Settings!$B$1)+SUMIFS(Transactions!$F:$F,Transactions!$A:$A,"&lt;="&amp;A235,Transactions!$B:$B,Settings!$B$1))</f>
        <v/>
      </c>
      <c r="F235" s="14" t="str">
        <f aca="false">IF(A235="","",IF(C235="","",D235*B235*C235))</f>
        <v/>
      </c>
      <c r="G235" s="14" t="str">
        <f aca="false">IF(F235="","",F235-E235)</f>
        <v/>
      </c>
      <c r="H235" s="14" t="str">
        <f aca="false">IF(F235="","",IFERROR(F235-F234-(E235-E234),0))</f>
        <v/>
      </c>
    </row>
    <row r="236" customFormat="false" ht="15" hidden="false" customHeight="false" outlineLevel="0" collapsed="false">
      <c r="A236" s="13" t="str">
        <f aca="false">IF(Prices!A236="","",Prices!A236)</f>
        <v/>
      </c>
      <c r="B236" s="14" t="str">
        <f aca="false">IF(A236="","",Prices!C236)</f>
        <v/>
      </c>
      <c r="C236" s="15" t="str">
        <f aca="false">IF(A236="","",IFERROR(INDEX(FX!$B:$B,MATCH(A236,FX!$A:$A,1)),""))</f>
        <v/>
      </c>
      <c r="D236" s="14" t="str">
        <f aca="false">IF(A236="","",SUMIFS(Transactions!$D:$D,Transactions!$A:$A,"&lt;="&amp;A236,Transactions!$B:$B,Settings!$B$1))</f>
        <v/>
      </c>
      <c r="E236" s="14" t="str">
        <f aca="false">IF(A236="","",SUMIFS(Transactions!$C:$C,Transactions!$A:$A,"&lt;="&amp;A236,Transactions!$B:$B,Settings!$B$1)+SUMIFS(Transactions!$F:$F,Transactions!$A:$A,"&lt;="&amp;A236,Transactions!$B:$B,Settings!$B$1))</f>
        <v/>
      </c>
      <c r="F236" s="14" t="str">
        <f aca="false">IF(A236="","",IF(C236="","",D236*B236*C236))</f>
        <v/>
      </c>
      <c r="G236" s="14" t="str">
        <f aca="false">IF(F236="","",F236-E236)</f>
        <v/>
      </c>
      <c r="H236" s="14" t="str">
        <f aca="false">IF(F236="","",IFERROR(F236-F235-(E236-E235),0))</f>
        <v/>
      </c>
    </row>
    <row r="237" customFormat="false" ht="15" hidden="false" customHeight="false" outlineLevel="0" collapsed="false">
      <c r="A237" s="13" t="str">
        <f aca="false">IF(Prices!A237="","",Prices!A237)</f>
        <v/>
      </c>
      <c r="B237" s="14" t="str">
        <f aca="false">IF(A237="","",Prices!C237)</f>
        <v/>
      </c>
      <c r="C237" s="15" t="str">
        <f aca="false">IF(A237="","",IFERROR(INDEX(FX!$B:$B,MATCH(A237,FX!$A:$A,1)),""))</f>
        <v/>
      </c>
      <c r="D237" s="14" t="str">
        <f aca="false">IF(A237="","",SUMIFS(Transactions!$D:$D,Transactions!$A:$A,"&lt;="&amp;A237,Transactions!$B:$B,Settings!$B$1))</f>
        <v/>
      </c>
      <c r="E237" s="14" t="str">
        <f aca="false">IF(A237="","",SUMIFS(Transactions!$C:$C,Transactions!$A:$A,"&lt;="&amp;A237,Transactions!$B:$B,Settings!$B$1)+SUMIFS(Transactions!$F:$F,Transactions!$A:$A,"&lt;="&amp;A237,Transactions!$B:$B,Settings!$B$1))</f>
        <v/>
      </c>
      <c r="F237" s="14" t="str">
        <f aca="false">IF(A237="","",IF(C237="","",D237*B237*C237))</f>
        <v/>
      </c>
      <c r="G237" s="14" t="str">
        <f aca="false">IF(F237="","",F237-E237)</f>
        <v/>
      </c>
      <c r="H237" s="14" t="str">
        <f aca="false">IF(F237="","",IFERROR(F237-F236-(E237-E236),0))</f>
        <v/>
      </c>
    </row>
    <row r="238" customFormat="false" ht="15" hidden="false" customHeight="false" outlineLevel="0" collapsed="false">
      <c r="A238" s="13" t="str">
        <f aca="false">IF(Prices!A238="","",Prices!A238)</f>
        <v/>
      </c>
      <c r="B238" s="14" t="str">
        <f aca="false">IF(A238="","",Prices!C238)</f>
        <v/>
      </c>
      <c r="C238" s="15" t="str">
        <f aca="false">IF(A238="","",IFERROR(INDEX(FX!$B:$B,MATCH(A238,FX!$A:$A,1)),""))</f>
        <v/>
      </c>
      <c r="D238" s="14" t="str">
        <f aca="false">IF(A238="","",SUMIFS(Transactions!$D:$D,Transactions!$A:$A,"&lt;="&amp;A238,Transactions!$B:$B,Settings!$B$1))</f>
        <v/>
      </c>
      <c r="E238" s="14" t="str">
        <f aca="false">IF(A238="","",SUMIFS(Transactions!$C:$C,Transactions!$A:$A,"&lt;="&amp;A238,Transactions!$B:$B,Settings!$B$1)+SUMIFS(Transactions!$F:$F,Transactions!$A:$A,"&lt;="&amp;A238,Transactions!$B:$B,Settings!$B$1))</f>
        <v/>
      </c>
      <c r="F238" s="14" t="str">
        <f aca="false">IF(A238="","",IF(C238="","",D238*B238*C238))</f>
        <v/>
      </c>
      <c r="G238" s="14" t="str">
        <f aca="false">IF(F238="","",F238-E238)</f>
        <v/>
      </c>
      <c r="H238" s="14" t="str">
        <f aca="false">IF(F238="","",IFERROR(F238-F237-(E238-E237),0))</f>
        <v/>
      </c>
    </row>
    <row r="239" customFormat="false" ht="15" hidden="false" customHeight="false" outlineLevel="0" collapsed="false">
      <c r="A239" s="13" t="str">
        <f aca="false">IF(Prices!A239="","",Prices!A239)</f>
        <v/>
      </c>
      <c r="B239" s="14" t="str">
        <f aca="false">IF(A239="","",Prices!C239)</f>
        <v/>
      </c>
      <c r="C239" s="15" t="str">
        <f aca="false">IF(A239="","",IFERROR(INDEX(FX!$B:$B,MATCH(A239,FX!$A:$A,1)),""))</f>
        <v/>
      </c>
      <c r="D239" s="14" t="str">
        <f aca="false">IF(A239="","",SUMIFS(Transactions!$D:$D,Transactions!$A:$A,"&lt;="&amp;A239,Transactions!$B:$B,Settings!$B$1))</f>
        <v/>
      </c>
      <c r="E239" s="14" t="str">
        <f aca="false">IF(A239="","",SUMIFS(Transactions!$C:$C,Transactions!$A:$A,"&lt;="&amp;A239,Transactions!$B:$B,Settings!$B$1)+SUMIFS(Transactions!$F:$F,Transactions!$A:$A,"&lt;="&amp;A239,Transactions!$B:$B,Settings!$B$1))</f>
        <v/>
      </c>
      <c r="F239" s="14" t="str">
        <f aca="false">IF(A239="","",IF(C239="","",D239*B239*C239))</f>
        <v/>
      </c>
      <c r="G239" s="14" t="str">
        <f aca="false">IF(F239="","",F239-E239)</f>
        <v/>
      </c>
      <c r="H239" s="14" t="str">
        <f aca="false">IF(F239="","",IFERROR(F239-F238-(E239-E238),0))</f>
        <v/>
      </c>
    </row>
    <row r="240" customFormat="false" ht="15" hidden="false" customHeight="false" outlineLevel="0" collapsed="false">
      <c r="A240" s="13" t="str">
        <f aca="false">IF(Prices!A240="","",Prices!A240)</f>
        <v/>
      </c>
      <c r="B240" s="14" t="str">
        <f aca="false">IF(A240="","",Prices!C240)</f>
        <v/>
      </c>
      <c r="C240" s="15" t="str">
        <f aca="false">IF(A240="","",IFERROR(INDEX(FX!$B:$B,MATCH(A240,FX!$A:$A,1)),""))</f>
        <v/>
      </c>
      <c r="D240" s="14" t="str">
        <f aca="false">IF(A240="","",SUMIFS(Transactions!$D:$D,Transactions!$A:$A,"&lt;="&amp;A240,Transactions!$B:$B,Settings!$B$1))</f>
        <v/>
      </c>
      <c r="E240" s="14" t="str">
        <f aca="false">IF(A240="","",SUMIFS(Transactions!$C:$C,Transactions!$A:$A,"&lt;="&amp;A240,Transactions!$B:$B,Settings!$B$1)+SUMIFS(Transactions!$F:$F,Transactions!$A:$A,"&lt;="&amp;A240,Transactions!$B:$B,Settings!$B$1))</f>
        <v/>
      </c>
      <c r="F240" s="14" t="str">
        <f aca="false">IF(A240="","",IF(C240="","",D240*B240*C240))</f>
        <v/>
      </c>
      <c r="G240" s="14" t="str">
        <f aca="false">IF(F240="","",F240-E240)</f>
        <v/>
      </c>
      <c r="H240" s="14" t="str">
        <f aca="false">IF(F240="","",IFERROR(F240-F239-(E240-E239),0))</f>
        <v/>
      </c>
    </row>
    <row r="241" customFormat="false" ht="15" hidden="false" customHeight="false" outlineLevel="0" collapsed="false">
      <c r="A241" s="13" t="str">
        <f aca="false">IF(Prices!A241="","",Prices!A241)</f>
        <v/>
      </c>
      <c r="B241" s="14" t="str">
        <f aca="false">IF(A241="","",Prices!C241)</f>
        <v/>
      </c>
      <c r="C241" s="15" t="str">
        <f aca="false">IF(A241="","",IFERROR(INDEX(FX!$B:$B,MATCH(A241,FX!$A:$A,1)),""))</f>
        <v/>
      </c>
      <c r="D241" s="14" t="str">
        <f aca="false">IF(A241="","",SUMIFS(Transactions!$D:$D,Transactions!$A:$A,"&lt;="&amp;A241,Transactions!$B:$B,Settings!$B$1))</f>
        <v/>
      </c>
      <c r="E241" s="14" t="str">
        <f aca="false">IF(A241="","",SUMIFS(Transactions!$C:$C,Transactions!$A:$A,"&lt;="&amp;A241,Transactions!$B:$B,Settings!$B$1)+SUMIFS(Transactions!$F:$F,Transactions!$A:$A,"&lt;="&amp;A241,Transactions!$B:$B,Settings!$B$1))</f>
        <v/>
      </c>
      <c r="F241" s="14" t="str">
        <f aca="false">IF(A241="","",IF(C241="","",D241*B241*C241))</f>
        <v/>
      </c>
      <c r="G241" s="14" t="str">
        <f aca="false">IF(F241="","",F241-E241)</f>
        <v/>
      </c>
      <c r="H241" s="14" t="str">
        <f aca="false">IF(F241="","",IFERROR(F241-F240-(E241-E240),0))</f>
        <v/>
      </c>
    </row>
    <row r="242" customFormat="false" ht="15" hidden="false" customHeight="false" outlineLevel="0" collapsed="false">
      <c r="A242" s="13" t="str">
        <f aca="false">IF(Prices!A242="","",Prices!A242)</f>
        <v/>
      </c>
      <c r="B242" s="14" t="str">
        <f aca="false">IF(A242="","",Prices!C242)</f>
        <v/>
      </c>
      <c r="C242" s="15" t="str">
        <f aca="false">IF(A242="","",IFERROR(INDEX(FX!$B:$B,MATCH(A242,FX!$A:$A,1)),""))</f>
        <v/>
      </c>
      <c r="D242" s="14" t="str">
        <f aca="false">IF(A242="","",SUMIFS(Transactions!$D:$D,Transactions!$A:$A,"&lt;="&amp;A242,Transactions!$B:$B,Settings!$B$1))</f>
        <v/>
      </c>
      <c r="E242" s="14" t="str">
        <f aca="false">IF(A242="","",SUMIFS(Transactions!$C:$C,Transactions!$A:$A,"&lt;="&amp;A242,Transactions!$B:$B,Settings!$B$1)+SUMIFS(Transactions!$F:$F,Transactions!$A:$A,"&lt;="&amp;A242,Transactions!$B:$B,Settings!$B$1))</f>
        <v/>
      </c>
      <c r="F242" s="14" t="str">
        <f aca="false">IF(A242="","",IF(C242="","",D242*B242*C242))</f>
        <v/>
      </c>
      <c r="G242" s="14" t="str">
        <f aca="false">IF(F242="","",F242-E242)</f>
        <v/>
      </c>
      <c r="H242" s="14" t="str">
        <f aca="false">IF(F242="","",IFERROR(F242-F241-(E242-E241),0))</f>
        <v/>
      </c>
    </row>
    <row r="243" customFormat="false" ht="15" hidden="false" customHeight="false" outlineLevel="0" collapsed="false">
      <c r="A243" s="13" t="str">
        <f aca="false">IF(Prices!A243="","",Prices!A243)</f>
        <v/>
      </c>
      <c r="B243" s="14" t="str">
        <f aca="false">IF(A243="","",Prices!C243)</f>
        <v/>
      </c>
      <c r="C243" s="15" t="str">
        <f aca="false">IF(A243="","",IFERROR(INDEX(FX!$B:$B,MATCH(A243,FX!$A:$A,1)),""))</f>
        <v/>
      </c>
      <c r="D243" s="14" t="str">
        <f aca="false">IF(A243="","",SUMIFS(Transactions!$D:$D,Transactions!$A:$A,"&lt;="&amp;A243,Transactions!$B:$B,Settings!$B$1))</f>
        <v/>
      </c>
      <c r="E243" s="14" t="str">
        <f aca="false">IF(A243="","",SUMIFS(Transactions!$C:$C,Transactions!$A:$A,"&lt;="&amp;A243,Transactions!$B:$B,Settings!$B$1)+SUMIFS(Transactions!$F:$F,Transactions!$A:$A,"&lt;="&amp;A243,Transactions!$B:$B,Settings!$B$1))</f>
        <v/>
      </c>
      <c r="F243" s="14" t="str">
        <f aca="false">IF(A243="","",IF(C243="","",D243*B243*C243))</f>
        <v/>
      </c>
      <c r="G243" s="14" t="str">
        <f aca="false">IF(F243="","",F243-E243)</f>
        <v/>
      </c>
      <c r="H243" s="14" t="str">
        <f aca="false">IF(F243="","",IFERROR(F243-F242-(E243-E242),0))</f>
        <v/>
      </c>
    </row>
    <row r="244" customFormat="false" ht="15" hidden="false" customHeight="false" outlineLevel="0" collapsed="false">
      <c r="A244" s="13" t="str">
        <f aca="false">IF(Prices!A244="","",Prices!A244)</f>
        <v/>
      </c>
      <c r="B244" s="14" t="str">
        <f aca="false">IF(A244="","",Prices!C244)</f>
        <v/>
      </c>
      <c r="C244" s="15" t="str">
        <f aca="false">IF(A244="","",IFERROR(INDEX(FX!$B:$B,MATCH(A244,FX!$A:$A,1)),""))</f>
        <v/>
      </c>
      <c r="D244" s="14" t="str">
        <f aca="false">IF(A244="","",SUMIFS(Transactions!$D:$D,Transactions!$A:$A,"&lt;="&amp;A244,Transactions!$B:$B,Settings!$B$1))</f>
        <v/>
      </c>
      <c r="E244" s="14" t="str">
        <f aca="false">IF(A244="","",SUMIFS(Transactions!$C:$C,Transactions!$A:$A,"&lt;="&amp;A244,Transactions!$B:$B,Settings!$B$1)+SUMIFS(Transactions!$F:$F,Transactions!$A:$A,"&lt;="&amp;A244,Transactions!$B:$B,Settings!$B$1))</f>
        <v/>
      </c>
      <c r="F244" s="14" t="str">
        <f aca="false">IF(A244="","",IF(C244="","",D244*B244*C244))</f>
        <v/>
      </c>
      <c r="G244" s="14" t="str">
        <f aca="false">IF(F244="","",F244-E244)</f>
        <v/>
      </c>
      <c r="H244" s="14" t="str">
        <f aca="false">IF(F244="","",IFERROR(F244-F243-(E244-E243),0))</f>
        <v/>
      </c>
    </row>
    <row r="245" customFormat="false" ht="15" hidden="false" customHeight="false" outlineLevel="0" collapsed="false">
      <c r="A245" s="13" t="str">
        <f aca="false">IF(Prices!A245="","",Prices!A245)</f>
        <v/>
      </c>
      <c r="B245" s="14" t="str">
        <f aca="false">IF(A245="","",Prices!C245)</f>
        <v/>
      </c>
      <c r="C245" s="15" t="str">
        <f aca="false">IF(A245="","",IFERROR(INDEX(FX!$B:$B,MATCH(A245,FX!$A:$A,1)),""))</f>
        <v/>
      </c>
      <c r="D245" s="14" t="str">
        <f aca="false">IF(A245="","",SUMIFS(Transactions!$D:$D,Transactions!$A:$A,"&lt;="&amp;A245,Transactions!$B:$B,Settings!$B$1))</f>
        <v/>
      </c>
      <c r="E245" s="14" t="str">
        <f aca="false">IF(A245="","",SUMIFS(Transactions!$C:$C,Transactions!$A:$A,"&lt;="&amp;A245,Transactions!$B:$B,Settings!$B$1)+SUMIFS(Transactions!$F:$F,Transactions!$A:$A,"&lt;="&amp;A245,Transactions!$B:$B,Settings!$B$1))</f>
        <v/>
      </c>
      <c r="F245" s="14" t="str">
        <f aca="false">IF(A245="","",IF(C245="","",D245*B245*C245))</f>
        <v/>
      </c>
      <c r="G245" s="14" t="str">
        <f aca="false">IF(F245="","",F245-E245)</f>
        <v/>
      </c>
      <c r="H245" s="14" t="str">
        <f aca="false">IF(F245="","",IFERROR(F245-F244-(E245-E244),0))</f>
        <v/>
      </c>
    </row>
    <row r="246" customFormat="false" ht="15" hidden="false" customHeight="false" outlineLevel="0" collapsed="false">
      <c r="A246" s="13" t="str">
        <f aca="false">IF(Prices!A246="","",Prices!A246)</f>
        <v/>
      </c>
      <c r="B246" s="14" t="str">
        <f aca="false">IF(A246="","",Prices!C246)</f>
        <v/>
      </c>
      <c r="C246" s="15" t="str">
        <f aca="false">IF(A246="","",IFERROR(INDEX(FX!$B:$B,MATCH(A246,FX!$A:$A,1)),""))</f>
        <v/>
      </c>
      <c r="D246" s="14" t="str">
        <f aca="false">IF(A246="","",SUMIFS(Transactions!$D:$D,Transactions!$A:$A,"&lt;="&amp;A246,Transactions!$B:$B,Settings!$B$1))</f>
        <v/>
      </c>
      <c r="E246" s="14" t="str">
        <f aca="false">IF(A246="","",SUMIFS(Transactions!$C:$C,Transactions!$A:$A,"&lt;="&amp;A246,Transactions!$B:$B,Settings!$B$1)+SUMIFS(Transactions!$F:$F,Transactions!$A:$A,"&lt;="&amp;A246,Transactions!$B:$B,Settings!$B$1))</f>
        <v/>
      </c>
      <c r="F246" s="14" t="str">
        <f aca="false">IF(A246="","",IF(C246="","",D246*B246*C246))</f>
        <v/>
      </c>
      <c r="G246" s="14" t="str">
        <f aca="false">IF(F246="","",F246-E246)</f>
        <v/>
      </c>
      <c r="H246" s="14" t="str">
        <f aca="false">IF(F246="","",IFERROR(F246-F245-(E246-E245),0))</f>
        <v/>
      </c>
    </row>
    <row r="247" customFormat="false" ht="15" hidden="false" customHeight="false" outlineLevel="0" collapsed="false">
      <c r="A247" s="13" t="str">
        <f aca="false">IF(Prices!A247="","",Prices!A247)</f>
        <v/>
      </c>
      <c r="B247" s="14" t="str">
        <f aca="false">IF(A247="","",Prices!C247)</f>
        <v/>
      </c>
      <c r="C247" s="15" t="str">
        <f aca="false">IF(A247="","",IFERROR(INDEX(FX!$B:$B,MATCH(A247,FX!$A:$A,1)),""))</f>
        <v/>
      </c>
      <c r="D247" s="14" t="str">
        <f aca="false">IF(A247="","",SUMIFS(Transactions!$D:$D,Transactions!$A:$A,"&lt;="&amp;A247,Transactions!$B:$B,Settings!$B$1))</f>
        <v/>
      </c>
      <c r="E247" s="14" t="str">
        <f aca="false">IF(A247="","",SUMIFS(Transactions!$C:$C,Transactions!$A:$A,"&lt;="&amp;A247,Transactions!$B:$B,Settings!$B$1)+SUMIFS(Transactions!$F:$F,Transactions!$A:$A,"&lt;="&amp;A247,Transactions!$B:$B,Settings!$B$1))</f>
        <v/>
      </c>
      <c r="F247" s="14" t="str">
        <f aca="false">IF(A247="","",IF(C247="","",D247*B247*C247))</f>
        <v/>
      </c>
      <c r="G247" s="14" t="str">
        <f aca="false">IF(F247="","",F247-E247)</f>
        <v/>
      </c>
      <c r="H247" s="14" t="str">
        <f aca="false">IF(F247="","",IFERROR(F247-F246-(E247-E246),0))</f>
        <v/>
      </c>
    </row>
    <row r="248" customFormat="false" ht="15" hidden="false" customHeight="false" outlineLevel="0" collapsed="false">
      <c r="A248" s="13" t="str">
        <f aca="false">IF(Prices!A248="","",Prices!A248)</f>
        <v/>
      </c>
      <c r="B248" s="14" t="str">
        <f aca="false">IF(A248="","",Prices!C248)</f>
        <v/>
      </c>
      <c r="C248" s="15" t="str">
        <f aca="false">IF(A248="","",IFERROR(INDEX(FX!$B:$B,MATCH(A248,FX!$A:$A,1)),""))</f>
        <v/>
      </c>
      <c r="D248" s="14" t="str">
        <f aca="false">IF(A248="","",SUMIFS(Transactions!$D:$D,Transactions!$A:$A,"&lt;="&amp;A248,Transactions!$B:$B,Settings!$B$1))</f>
        <v/>
      </c>
      <c r="E248" s="14" t="str">
        <f aca="false">IF(A248="","",SUMIFS(Transactions!$C:$C,Transactions!$A:$A,"&lt;="&amp;A248,Transactions!$B:$B,Settings!$B$1)+SUMIFS(Transactions!$F:$F,Transactions!$A:$A,"&lt;="&amp;A248,Transactions!$B:$B,Settings!$B$1))</f>
        <v/>
      </c>
      <c r="F248" s="14" t="str">
        <f aca="false">IF(A248="","",IF(C248="","",D248*B248*C248))</f>
        <v/>
      </c>
      <c r="G248" s="14" t="str">
        <f aca="false">IF(F248="","",F248-E248)</f>
        <v/>
      </c>
      <c r="H248" s="14" t="str">
        <f aca="false">IF(F248="","",IFERROR(F248-F247-(E248-E247),0))</f>
        <v/>
      </c>
    </row>
    <row r="249" customFormat="false" ht="15" hidden="false" customHeight="false" outlineLevel="0" collapsed="false">
      <c r="A249" s="13" t="str">
        <f aca="false">IF(Prices!A249="","",Prices!A249)</f>
        <v/>
      </c>
      <c r="B249" s="14" t="str">
        <f aca="false">IF(A249="","",Prices!C249)</f>
        <v/>
      </c>
      <c r="C249" s="15" t="str">
        <f aca="false">IF(A249="","",IFERROR(INDEX(FX!$B:$B,MATCH(A249,FX!$A:$A,1)),""))</f>
        <v/>
      </c>
      <c r="D249" s="14" t="str">
        <f aca="false">IF(A249="","",SUMIFS(Transactions!$D:$D,Transactions!$A:$A,"&lt;="&amp;A249,Transactions!$B:$B,Settings!$B$1))</f>
        <v/>
      </c>
      <c r="E249" s="14" t="str">
        <f aca="false">IF(A249="","",SUMIFS(Transactions!$C:$C,Transactions!$A:$A,"&lt;="&amp;A249,Transactions!$B:$B,Settings!$B$1)+SUMIFS(Transactions!$F:$F,Transactions!$A:$A,"&lt;="&amp;A249,Transactions!$B:$B,Settings!$B$1))</f>
        <v/>
      </c>
      <c r="F249" s="14" t="str">
        <f aca="false">IF(A249="","",IF(C249="","",D249*B249*C249))</f>
        <v/>
      </c>
      <c r="G249" s="14" t="str">
        <f aca="false">IF(F249="","",F249-E249)</f>
        <v/>
      </c>
      <c r="H249" s="14" t="str">
        <f aca="false">IF(F249="","",IFERROR(F249-F248-(E249-E248),0))</f>
        <v/>
      </c>
    </row>
    <row r="250" customFormat="false" ht="15" hidden="false" customHeight="false" outlineLevel="0" collapsed="false">
      <c r="A250" s="13" t="str">
        <f aca="false">IF(Prices!A250="","",Prices!A250)</f>
        <v/>
      </c>
      <c r="B250" s="14" t="str">
        <f aca="false">IF(A250="","",Prices!C250)</f>
        <v/>
      </c>
      <c r="C250" s="15" t="str">
        <f aca="false">IF(A250="","",IFERROR(INDEX(FX!$B:$B,MATCH(A250,FX!$A:$A,1)),""))</f>
        <v/>
      </c>
      <c r="D250" s="14" t="str">
        <f aca="false">IF(A250="","",SUMIFS(Transactions!$D:$D,Transactions!$A:$A,"&lt;="&amp;A250,Transactions!$B:$B,Settings!$B$1))</f>
        <v/>
      </c>
      <c r="E250" s="14" t="str">
        <f aca="false">IF(A250="","",SUMIFS(Transactions!$C:$C,Transactions!$A:$A,"&lt;="&amp;A250,Transactions!$B:$B,Settings!$B$1)+SUMIFS(Transactions!$F:$F,Transactions!$A:$A,"&lt;="&amp;A250,Transactions!$B:$B,Settings!$B$1))</f>
        <v/>
      </c>
      <c r="F250" s="14" t="str">
        <f aca="false">IF(A250="","",IF(C250="","",D250*B250*C250))</f>
        <v/>
      </c>
      <c r="G250" s="14" t="str">
        <f aca="false">IF(F250="","",F250-E250)</f>
        <v/>
      </c>
      <c r="H250" s="14" t="str">
        <f aca="false">IF(F250="","",IFERROR(F250-F249-(E250-E249),0))</f>
        <v/>
      </c>
    </row>
    <row r="251" customFormat="false" ht="15" hidden="false" customHeight="false" outlineLevel="0" collapsed="false">
      <c r="A251" s="13" t="str">
        <f aca="false">IF(Prices!A251="","",Prices!A251)</f>
        <v/>
      </c>
      <c r="B251" s="14" t="str">
        <f aca="false">IF(A251="","",Prices!C251)</f>
        <v/>
      </c>
      <c r="C251" s="15" t="str">
        <f aca="false">IF(A251="","",IFERROR(INDEX(FX!$B:$B,MATCH(A251,FX!$A:$A,1)),""))</f>
        <v/>
      </c>
      <c r="D251" s="14" t="str">
        <f aca="false">IF(A251="","",SUMIFS(Transactions!$D:$D,Transactions!$A:$A,"&lt;="&amp;A251,Transactions!$B:$B,Settings!$B$1))</f>
        <v/>
      </c>
      <c r="E251" s="14" t="str">
        <f aca="false">IF(A251="","",SUMIFS(Transactions!$C:$C,Transactions!$A:$A,"&lt;="&amp;A251,Transactions!$B:$B,Settings!$B$1)+SUMIFS(Transactions!$F:$F,Transactions!$A:$A,"&lt;="&amp;A251,Transactions!$B:$B,Settings!$B$1))</f>
        <v/>
      </c>
      <c r="F251" s="14" t="str">
        <f aca="false">IF(A251="","",IF(C251="","",D251*B251*C251))</f>
        <v/>
      </c>
      <c r="G251" s="14" t="str">
        <f aca="false">IF(F251="","",F251-E251)</f>
        <v/>
      </c>
      <c r="H251" s="14" t="str">
        <f aca="false">IF(F251="","",IFERROR(F251-F250-(E251-E250),0))</f>
        <v/>
      </c>
    </row>
    <row r="252" customFormat="false" ht="15" hidden="false" customHeight="false" outlineLevel="0" collapsed="false">
      <c r="A252" s="13" t="str">
        <f aca="false">IF(Prices!A252="","",Prices!A252)</f>
        <v/>
      </c>
      <c r="B252" s="14" t="str">
        <f aca="false">IF(A252="","",Prices!C252)</f>
        <v/>
      </c>
      <c r="C252" s="15" t="str">
        <f aca="false">IF(A252="","",IFERROR(INDEX(FX!$B:$B,MATCH(A252,FX!$A:$A,1)),""))</f>
        <v/>
      </c>
      <c r="D252" s="14" t="str">
        <f aca="false">IF(A252="","",SUMIFS(Transactions!$D:$D,Transactions!$A:$A,"&lt;="&amp;A252,Transactions!$B:$B,Settings!$B$1))</f>
        <v/>
      </c>
      <c r="E252" s="14" t="str">
        <f aca="false">IF(A252="","",SUMIFS(Transactions!$C:$C,Transactions!$A:$A,"&lt;="&amp;A252,Transactions!$B:$B,Settings!$B$1)+SUMIFS(Transactions!$F:$F,Transactions!$A:$A,"&lt;="&amp;A252,Transactions!$B:$B,Settings!$B$1))</f>
        <v/>
      </c>
      <c r="F252" s="14" t="str">
        <f aca="false">IF(A252="","",IF(C252="","",D252*B252*C252))</f>
        <v/>
      </c>
      <c r="G252" s="14" t="str">
        <f aca="false">IF(F252="","",F252-E252)</f>
        <v/>
      </c>
      <c r="H252" s="14" t="str">
        <f aca="false">IF(F252="","",IFERROR(F252-F251-(E252-E251),0))</f>
        <v/>
      </c>
    </row>
    <row r="253" customFormat="false" ht="15" hidden="false" customHeight="false" outlineLevel="0" collapsed="false">
      <c r="A253" s="13" t="str">
        <f aca="false">IF(Prices!A253="","",Prices!A253)</f>
        <v/>
      </c>
      <c r="B253" s="14" t="str">
        <f aca="false">IF(A253="","",Prices!C253)</f>
        <v/>
      </c>
      <c r="C253" s="15" t="str">
        <f aca="false">IF(A253="","",IFERROR(INDEX(FX!$B:$B,MATCH(A253,FX!$A:$A,1)),""))</f>
        <v/>
      </c>
      <c r="D253" s="14" t="str">
        <f aca="false">IF(A253="","",SUMIFS(Transactions!$D:$D,Transactions!$A:$A,"&lt;="&amp;A253,Transactions!$B:$B,Settings!$B$1))</f>
        <v/>
      </c>
      <c r="E253" s="14" t="str">
        <f aca="false">IF(A253="","",SUMIFS(Transactions!$C:$C,Transactions!$A:$A,"&lt;="&amp;A253,Transactions!$B:$B,Settings!$B$1)+SUMIFS(Transactions!$F:$F,Transactions!$A:$A,"&lt;="&amp;A253,Transactions!$B:$B,Settings!$B$1))</f>
        <v/>
      </c>
      <c r="F253" s="14" t="str">
        <f aca="false">IF(A253="","",IF(C253="","",D253*B253*C253))</f>
        <v/>
      </c>
      <c r="G253" s="14" t="str">
        <f aca="false">IF(F253="","",F253-E253)</f>
        <v/>
      </c>
      <c r="H253" s="14" t="str">
        <f aca="false">IF(F253="","",IFERROR(F253-F252-(E253-E252),0))</f>
        <v/>
      </c>
    </row>
    <row r="254" customFormat="false" ht="15" hidden="false" customHeight="false" outlineLevel="0" collapsed="false">
      <c r="A254" s="13" t="str">
        <f aca="false">IF(Prices!A254="","",Prices!A254)</f>
        <v/>
      </c>
      <c r="B254" s="14" t="str">
        <f aca="false">IF(A254="","",Prices!C254)</f>
        <v/>
      </c>
      <c r="C254" s="15" t="str">
        <f aca="false">IF(A254="","",IFERROR(INDEX(FX!$B:$B,MATCH(A254,FX!$A:$A,1)),""))</f>
        <v/>
      </c>
      <c r="D254" s="14" t="str">
        <f aca="false">IF(A254="","",SUMIFS(Transactions!$D:$D,Transactions!$A:$A,"&lt;="&amp;A254,Transactions!$B:$B,Settings!$B$1))</f>
        <v/>
      </c>
      <c r="E254" s="14" t="str">
        <f aca="false">IF(A254="","",SUMIFS(Transactions!$C:$C,Transactions!$A:$A,"&lt;="&amp;A254,Transactions!$B:$B,Settings!$B$1)+SUMIFS(Transactions!$F:$F,Transactions!$A:$A,"&lt;="&amp;A254,Transactions!$B:$B,Settings!$B$1))</f>
        <v/>
      </c>
      <c r="F254" s="14" t="str">
        <f aca="false">IF(A254="","",IF(C254="","",D254*B254*C254))</f>
        <v/>
      </c>
      <c r="G254" s="14" t="str">
        <f aca="false">IF(F254="","",F254-E254)</f>
        <v/>
      </c>
      <c r="H254" s="14" t="str">
        <f aca="false">IF(F254="","",IFERROR(F254-F253-(E254-E253),0))</f>
        <v/>
      </c>
    </row>
    <row r="255" customFormat="false" ht="15" hidden="false" customHeight="false" outlineLevel="0" collapsed="false">
      <c r="A255" s="13" t="str">
        <f aca="false">IF(Prices!A255="","",Prices!A255)</f>
        <v/>
      </c>
      <c r="B255" s="14" t="str">
        <f aca="false">IF(A255="","",Prices!C255)</f>
        <v/>
      </c>
      <c r="C255" s="15" t="str">
        <f aca="false">IF(A255="","",IFERROR(INDEX(FX!$B:$B,MATCH(A255,FX!$A:$A,1)),""))</f>
        <v/>
      </c>
      <c r="D255" s="14" t="str">
        <f aca="false">IF(A255="","",SUMIFS(Transactions!$D:$D,Transactions!$A:$A,"&lt;="&amp;A255,Transactions!$B:$B,Settings!$B$1))</f>
        <v/>
      </c>
      <c r="E255" s="14" t="str">
        <f aca="false">IF(A255="","",SUMIFS(Transactions!$C:$C,Transactions!$A:$A,"&lt;="&amp;A255,Transactions!$B:$B,Settings!$B$1)+SUMIFS(Transactions!$F:$F,Transactions!$A:$A,"&lt;="&amp;A255,Transactions!$B:$B,Settings!$B$1))</f>
        <v/>
      </c>
      <c r="F255" s="14" t="str">
        <f aca="false">IF(A255="","",IF(C255="","",D255*B255*C255))</f>
        <v/>
      </c>
      <c r="G255" s="14" t="str">
        <f aca="false">IF(F255="","",F255-E255)</f>
        <v/>
      </c>
      <c r="H255" s="14" t="str">
        <f aca="false">IF(F255="","",IFERROR(F255-F254-(E255-E254),0))</f>
        <v/>
      </c>
    </row>
    <row r="256" customFormat="false" ht="15" hidden="false" customHeight="false" outlineLevel="0" collapsed="false">
      <c r="A256" s="13" t="str">
        <f aca="false">IF(Prices!A256="","",Prices!A256)</f>
        <v/>
      </c>
      <c r="B256" s="14" t="str">
        <f aca="false">IF(A256="","",Prices!C256)</f>
        <v/>
      </c>
      <c r="C256" s="15" t="str">
        <f aca="false">IF(A256="","",IFERROR(INDEX(FX!$B:$B,MATCH(A256,FX!$A:$A,1)),""))</f>
        <v/>
      </c>
      <c r="D256" s="14" t="str">
        <f aca="false">IF(A256="","",SUMIFS(Transactions!$D:$D,Transactions!$A:$A,"&lt;="&amp;A256,Transactions!$B:$B,Settings!$B$1))</f>
        <v/>
      </c>
      <c r="E256" s="14" t="str">
        <f aca="false">IF(A256="","",SUMIFS(Transactions!$C:$C,Transactions!$A:$A,"&lt;="&amp;A256,Transactions!$B:$B,Settings!$B$1)+SUMIFS(Transactions!$F:$F,Transactions!$A:$A,"&lt;="&amp;A256,Transactions!$B:$B,Settings!$B$1))</f>
        <v/>
      </c>
      <c r="F256" s="14" t="str">
        <f aca="false">IF(A256="","",IF(C256="","",D256*B256*C256))</f>
        <v/>
      </c>
      <c r="G256" s="14" t="str">
        <f aca="false">IF(F256="","",F256-E256)</f>
        <v/>
      </c>
      <c r="H256" s="14" t="str">
        <f aca="false">IF(F256="","",IFERROR(F256-F255-(E256-E255),0))</f>
        <v/>
      </c>
    </row>
    <row r="257" customFormat="false" ht="15" hidden="false" customHeight="false" outlineLevel="0" collapsed="false">
      <c r="A257" s="13" t="str">
        <f aca="false">IF(Prices!A257="","",Prices!A257)</f>
        <v/>
      </c>
      <c r="B257" s="14" t="str">
        <f aca="false">IF(A257="","",Prices!C257)</f>
        <v/>
      </c>
      <c r="C257" s="15" t="str">
        <f aca="false">IF(A257="","",IFERROR(INDEX(FX!$B:$B,MATCH(A257,FX!$A:$A,1)),""))</f>
        <v/>
      </c>
      <c r="D257" s="14" t="str">
        <f aca="false">IF(A257="","",SUMIFS(Transactions!$D:$D,Transactions!$A:$A,"&lt;="&amp;A257,Transactions!$B:$B,Settings!$B$1))</f>
        <v/>
      </c>
      <c r="E257" s="14" t="str">
        <f aca="false">IF(A257="","",SUMIFS(Transactions!$C:$C,Transactions!$A:$A,"&lt;="&amp;A257,Transactions!$B:$B,Settings!$B$1)+SUMIFS(Transactions!$F:$F,Transactions!$A:$A,"&lt;="&amp;A257,Transactions!$B:$B,Settings!$B$1))</f>
        <v/>
      </c>
      <c r="F257" s="14" t="str">
        <f aca="false">IF(A257="","",IF(C257="","",D257*B257*C257))</f>
        <v/>
      </c>
      <c r="G257" s="14" t="str">
        <f aca="false">IF(F257="","",F257-E257)</f>
        <v/>
      </c>
      <c r="H257" s="14" t="str">
        <f aca="false">IF(F257="","",IFERROR(F257-F256-(E257-E256),0))</f>
        <v/>
      </c>
    </row>
    <row r="258" customFormat="false" ht="15" hidden="false" customHeight="false" outlineLevel="0" collapsed="false">
      <c r="A258" s="13" t="str">
        <f aca="false">IF(Prices!A258="","",Prices!A258)</f>
        <v/>
      </c>
      <c r="B258" s="14" t="str">
        <f aca="false">IF(A258="","",Prices!C258)</f>
        <v/>
      </c>
      <c r="C258" s="15" t="str">
        <f aca="false">IF(A258="","",IFERROR(INDEX(FX!$B:$B,MATCH(A258,FX!$A:$A,1)),""))</f>
        <v/>
      </c>
      <c r="D258" s="14" t="str">
        <f aca="false">IF(A258="","",SUMIFS(Transactions!$D:$D,Transactions!$A:$A,"&lt;="&amp;A258,Transactions!$B:$B,Settings!$B$1))</f>
        <v/>
      </c>
      <c r="E258" s="14" t="str">
        <f aca="false">IF(A258="","",SUMIFS(Transactions!$C:$C,Transactions!$A:$A,"&lt;="&amp;A258,Transactions!$B:$B,Settings!$B$1)+SUMIFS(Transactions!$F:$F,Transactions!$A:$A,"&lt;="&amp;A258,Transactions!$B:$B,Settings!$B$1))</f>
        <v/>
      </c>
      <c r="F258" s="14" t="str">
        <f aca="false">IF(A258="","",IF(C258="","",D258*B258*C258))</f>
        <v/>
      </c>
      <c r="G258" s="14" t="str">
        <f aca="false">IF(F258="","",F258-E258)</f>
        <v/>
      </c>
      <c r="H258" s="14" t="str">
        <f aca="false">IF(F258="","",IFERROR(F258-F257-(E258-E257),0))</f>
        <v/>
      </c>
    </row>
    <row r="259" customFormat="false" ht="15" hidden="false" customHeight="false" outlineLevel="0" collapsed="false">
      <c r="A259" s="13" t="str">
        <f aca="false">IF(Prices!A259="","",Prices!A259)</f>
        <v/>
      </c>
      <c r="B259" s="14" t="str">
        <f aca="false">IF(A259="","",Prices!C259)</f>
        <v/>
      </c>
      <c r="C259" s="15" t="str">
        <f aca="false">IF(A259="","",IFERROR(INDEX(FX!$B:$B,MATCH(A259,FX!$A:$A,1)),""))</f>
        <v/>
      </c>
      <c r="D259" s="14" t="str">
        <f aca="false">IF(A259="","",SUMIFS(Transactions!$D:$D,Transactions!$A:$A,"&lt;="&amp;A259,Transactions!$B:$B,Settings!$B$1))</f>
        <v/>
      </c>
      <c r="E259" s="14" t="str">
        <f aca="false">IF(A259="","",SUMIFS(Transactions!$C:$C,Transactions!$A:$A,"&lt;="&amp;A259,Transactions!$B:$B,Settings!$B$1)+SUMIFS(Transactions!$F:$F,Transactions!$A:$A,"&lt;="&amp;A259,Transactions!$B:$B,Settings!$B$1))</f>
        <v/>
      </c>
      <c r="F259" s="14" t="str">
        <f aca="false">IF(A259="","",IF(C259="","",D259*B259*C259))</f>
        <v/>
      </c>
      <c r="G259" s="14" t="str">
        <f aca="false">IF(F259="","",F259-E259)</f>
        <v/>
      </c>
      <c r="H259" s="14" t="str">
        <f aca="false">IF(F259="","",IFERROR(F259-F258-(E259-E258),0))</f>
        <v/>
      </c>
    </row>
    <row r="260" customFormat="false" ht="15" hidden="false" customHeight="false" outlineLevel="0" collapsed="false">
      <c r="A260" s="13" t="str">
        <f aca="false">IF(Prices!A260="","",Prices!A260)</f>
        <v/>
      </c>
      <c r="B260" s="14" t="str">
        <f aca="false">IF(A260="","",Prices!C260)</f>
        <v/>
      </c>
      <c r="C260" s="15" t="str">
        <f aca="false">IF(A260="","",IFERROR(INDEX(FX!$B:$B,MATCH(A260,FX!$A:$A,1)),""))</f>
        <v/>
      </c>
      <c r="D260" s="14" t="str">
        <f aca="false">IF(A260="","",SUMIFS(Transactions!$D:$D,Transactions!$A:$A,"&lt;="&amp;A260,Transactions!$B:$B,Settings!$B$1))</f>
        <v/>
      </c>
      <c r="E260" s="14" t="str">
        <f aca="false">IF(A260="","",SUMIFS(Transactions!$C:$C,Transactions!$A:$A,"&lt;="&amp;A260,Transactions!$B:$B,Settings!$B$1)+SUMIFS(Transactions!$F:$F,Transactions!$A:$A,"&lt;="&amp;A260,Transactions!$B:$B,Settings!$B$1))</f>
        <v/>
      </c>
      <c r="F260" s="14" t="str">
        <f aca="false">IF(A260="","",IF(C260="","",D260*B260*C260))</f>
        <v/>
      </c>
      <c r="G260" s="14" t="str">
        <f aca="false">IF(F260="","",F260-E260)</f>
        <v/>
      </c>
      <c r="H260" s="14" t="str">
        <f aca="false">IF(F260="","",IFERROR(F260-F259-(E260-E259),0))</f>
        <v/>
      </c>
    </row>
    <row r="261" customFormat="false" ht="15" hidden="false" customHeight="false" outlineLevel="0" collapsed="false">
      <c r="A261" s="13" t="str">
        <f aca="false">IF(Prices!A261="","",Prices!A261)</f>
        <v/>
      </c>
      <c r="B261" s="14" t="str">
        <f aca="false">IF(A261="","",Prices!C261)</f>
        <v/>
      </c>
      <c r="C261" s="15" t="str">
        <f aca="false">IF(A261="","",IFERROR(INDEX(FX!$B:$B,MATCH(A261,FX!$A:$A,1)),""))</f>
        <v/>
      </c>
      <c r="D261" s="14" t="str">
        <f aca="false">IF(A261="","",SUMIFS(Transactions!$D:$D,Transactions!$A:$A,"&lt;="&amp;A261,Transactions!$B:$B,Settings!$B$1))</f>
        <v/>
      </c>
      <c r="E261" s="14" t="str">
        <f aca="false">IF(A261="","",SUMIFS(Transactions!$C:$C,Transactions!$A:$A,"&lt;="&amp;A261,Transactions!$B:$B,Settings!$B$1)+SUMIFS(Transactions!$F:$F,Transactions!$A:$A,"&lt;="&amp;A261,Transactions!$B:$B,Settings!$B$1))</f>
        <v/>
      </c>
      <c r="F261" s="14" t="str">
        <f aca="false">IF(A261="","",IF(C261="","",D261*B261*C261))</f>
        <v/>
      </c>
      <c r="G261" s="14" t="str">
        <f aca="false">IF(F261="","",F261-E261)</f>
        <v/>
      </c>
      <c r="H261" s="14" t="str">
        <f aca="false">IF(F261="","",IFERROR(F261-F260-(E261-E260),0))</f>
        <v/>
      </c>
    </row>
    <row r="262" customFormat="false" ht="15" hidden="false" customHeight="false" outlineLevel="0" collapsed="false">
      <c r="A262" s="13" t="str">
        <f aca="false">IF(Prices!A262="","",Prices!A262)</f>
        <v/>
      </c>
      <c r="B262" s="14" t="str">
        <f aca="false">IF(A262="","",Prices!C262)</f>
        <v/>
      </c>
      <c r="C262" s="15" t="str">
        <f aca="false">IF(A262="","",IFERROR(INDEX(FX!$B:$B,MATCH(A262,FX!$A:$A,1)),""))</f>
        <v/>
      </c>
      <c r="D262" s="14" t="str">
        <f aca="false">IF(A262="","",SUMIFS(Transactions!$D:$D,Transactions!$A:$A,"&lt;="&amp;A262,Transactions!$B:$B,Settings!$B$1))</f>
        <v/>
      </c>
      <c r="E262" s="14" t="str">
        <f aca="false">IF(A262="","",SUMIFS(Transactions!$C:$C,Transactions!$A:$A,"&lt;="&amp;A262,Transactions!$B:$B,Settings!$B$1)+SUMIFS(Transactions!$F:$F,Transactions!$A:$A,"&lt;="&amp;A262,Transactions!$B:$B,Settings!$B$1))</f>
        <v/>
      </c>
      <c r="F262" s="14" t="str">
        <f aca="false">IF(A262="","",IF(C262="","",D262*B262*C262))</f>
        <v/>
      </c>
      <c r="G262" s="14" t="str">
        <f aca="false">IF(F262="","",F262-E262)</f>
        <v/>
      </c>
      <c r="H262" s="14" t="str">
        <f aca="false">IF(F262="","",IFERROR(F262-F261-(E262-E261),0))</f>
        <v/>
      </c>
    </row>
    <row r="263" customFormat="false" ht="15" hidden="false" customHeight="false" outlineLevel="0" collapsed="false">
      <c r="A263" s="13" t="str">
        <f aca="false">IF(Prices!A263="","",Prices!A263)</f>
        <v/>
      </c>
      <c r="B263" s="14" t="str">
        <f aca="false">IF(A263="","",Prices!C263)</f>
        <v/>
      </c>
      <c r="C263" s="15" t="str">
        <f aca="false">IF(A263="","",IFERROR(INDEX(FX!$B:$B,MATCH(A263,FX!$A:$A,1)),""))</f>
        <v/>
      </c>
      <c r="D263" s="14" t="str">
        <f aca="false">IF(A263="","",SUMIFS(Transactions!$D:$D,Transactions!$A:$A,"&lt;="&amp;A263,Transactions!$B:$B,Settings!$B$1))</f>
        <v/>
      </c>
      <c r="E263" s="14" t="str">
        <f aca="false">IF(A263="","",SUMIFS(Transactions!$C:$C,Transactions!$A:$A,"&lt;="&amp;A263,Transactions!$B:$B,Settings!$B$1)+SUMIFS(Transactions!$F:$F,Transactions!$A:$A,"&lt;="&amp;A263,Transactions!$B:$B,Settings!$B$1))</f>
        <v/>
      </c>
      <c r="F263" s="14" t="str">
        <f aca="false">IF(A263="","",IF(C263="","",D263*B263*C263))</f>
        <v/>
      </c>
      <c r="G263" s="14" t="str">
        <f aca="false">IF(F263="","",F263-E263)</f>
        <v/>
      </c>
      <c r="H263" s="14" t="str">
        <f aca="false">IF(F263="","",IFERROR(F263-F262-(E263-E262),0))</f>
        <v/>
      </c>
    </row>
    <row r="264" customFormat="false" ht="15" hidden="false" customHeight="false" outlineLevel="0" collapsed="false">
      <c r="A264" s="13" t="str">
        <f aca="false">IF(Prices!A264="","",Prices!A264)</f>
        <v/>
      </c>
      <c r="B264" s="14" t="str">
        <f aca="false">IF(A264="","",Prices!C264)</f>
        <v/>
      </c>
      <c r="C264" s="15" t="str">
        <f aca="false">IF(A264="","",IFERROR(INDEX(FX!$B:$B,MATCH(A264,FX!$A:$A,1)),""))</f>
        <v/>
      </c>
      <c r="D264" s="14" t="str">
        <f aca="false">IF(A264="","",SUMIFS(Transactions!$D:$D,Transactions!$A:$A,"&lt;="&amp;A264,Transactions!$B:$B,Settings!$B$1))</f>
        <v/>
      </c>
      <c r="E264" s="14" t="str">
        <f aca="false">IF(A264="","",SUMIFS(Transactions!$C:$C,Transactions!$A:$A,"&lt;="&amp;A264,Transactions!$B:$B,Settings!$B$1)+SUMIFS(Transactions!$F:$F,Transactions!$A:$A,"&lt;="&amp;A264,Transactions!$B:$B,Settings!$B$1))</f>
        <v/>
      </c>
      <c r="F264" s="14" t="str">
        <f aca="false">IF(A264="","",IF(C264="","",D264*B264*C264))</f>
        <v/>
      </c>
      <c r="G264" s="14" t="str">
        <f aca="false">IF(F264="","",F264-E264)</f>
        <v/>
      </c>
      <c r="H264" s="14" t="str">
        <f aca="false">IF(F264="","",IFERROR(F264-F263-(E264-E263),0))</f>
        <v/>
      </c>
    </row>
    <row r="265" customFormat="false" ht="15" hidden="false" customHeight="false" outlineLevel="0" collapsed="false">
      <c r="A265" s="13" t="str">
        <f aca="false">IF(Prices!A265="","",Prices!A265)</f>
        <v/>
      </c>
      <c r="B265" s="14" t="str">
        <f aca="false">IF(A265="","",Prices!C265)</f>
        <v/>
      </c>
      <c r="C265" s="15" t="str">
        <f aca="false">IF(A265="","",IFERROR(INDEX(FX!$B:$B,MATCH(A265,FX!$A:$A,1)),""))</f>
        <v/>
      </c>
      <c r="D265" s="14" t="str">
        <f aca="false">IF(A265="","",SUMIFS(Transactions!$D:$D,Transactions!$A:$A,"&lt;="&amp;A265,Transactions!$B:$B,Settings!$B$1))</f>
        <v/>
      </c>
      <c r="E265" s="14" t="str">
        <f aca="false">IF(A265="","",SUMIFS(Transactions!$C:$C,Transactions!$A:$A,"&lt;="&amp;A265,Transactions!$B:$B,Settings!$B$1)+SUMIFS(Transactions!$F:$F,Transactions!$A:$A,"&lt;="&amp;A265,Transactions!$B:$B,Settings!$B$1))</f>
        <v/>
      </c>
      <c r="F265" s="14" t="str">
        <f aca="false">IF(A265="","",IF(C265="","",D265*B265*C265))</f>
        <v/>
      </c>
      <c r="G265" s="14" t="str">
        <f aca="false">IF(F265="","",F265-E265)</f>
        <v/>
      </c>
      <c r="H265" s="14" t="str">
        <f aca="false">IF(F265="","",IFERROR(F265-F264-(E265-E264),0))</f>
        <v/>
      </c>
    </row>
    <row r="266" customFormat="false" ht="15" hidden="false" customHeight="false" outlineLevel="0" collapsed="false">
      <c r="A266" s="13" t="str">
        <f aca="false">IF(Prices!A266="","",Prices!A266)</f>
        <v/>
      </c>
      <c r="B266" s="14" t="str">
        <f aca="false">IF(A266="","",Prices!C266)</f>
        <v/>
      </c>
      <c r="C266" s="15" t="str">
        <f aca="false">IF(A266="","",IFERROR(INDEX(FX!$B:$B,MATCH(A266,FX!$A:$A,1)),""))</f>
        <v/>
      </c>
      <c r="D266" s="14" t="str">
        <f aca="false">IF(A266="","",SUMIFS(Transactions!$D:$D,Transactions!$A:$A,"&lt;="&amp;A266,Transactions!$B:$B,Settings!$B$1))</f>
        <v/>
      </c>
      <c r="E266" s="14" t="str">
        <f aca="false">IF(A266="","",SUMIFS(Transactions!$C:$C,Transactions!$A:$A,"&lt;="&amp;A266,Transactions!$B:$B,Settings!$B$1)+SUMIFS(Transactions!$F:$F,Transactions!$A:$A,"&lt;="&amp;A266,Transactions!$B:$B,Settings!$B$1))</f>
        <v/>
      </c>
      <c r="F266" s="14" t="str">
        <f aca="false">IF(A266="","",IF(C266="","",D266*B266*C266))</f>
        <v/>
      </c>
      <c r="G266" s="14" t="str">
        <f aca="false">IF(F266="","",F266-E266)</f>
        <v/>
      </c>
      <c r="H266" s="14" t="str">
        <f aca="false">IF(F266="","",IFERROR(F266-F265-(E266-E265),0))</f>
        <v/>
      </c>
    </row>
    <row r="267" customFormat="false" ht="15" hidden="false" customHeight="false" outlineLevel="0" collapsed="false">
      <c r="A267" s="13" t="str">
        <f aca="false">IF(Prices!A267="","",Prices!A267)</f>
        <v/>
      </c>
      <c r="B267" s="14" t="str">
        <f aca="false">IF(A267="","",Prices!C267)</f>
        <v/>
      </c>
      <c r="C267" s="15" t="str">
        <f aca="false">IF(A267="","",IFERROR(INDEX(FX!$B:$B,MATCH(A267,FX!$A:$A,1)),""))</f>
        <v/>
      </c>
      <c r="D267" s="14" t="str">
        <f aca="false">IF(A267="","",SUMIFS(Transactions!$D:$D,Transactions!$A:$A,"&lt;="&amp;A267,Transactions!$B:$B,Settings!$B$1))</f>
        <v/>
      </c>
      <c r="E267" s="14" t="str">
        <f aca="false">IF(A267="","",SUMIFS(Transactions!$C:$C,Transactions!$A:$A,"&lt;="&amp;A267,Transactions!$B:$B,Settings!$B$1)+SUMIFS(Transactions!$F:$F,Transactions!$A:$A,"&lt;="&amp;A267,Transactions!$B:$B,Settings!$B$1))</f>
        <v/>
      </c>
      <c r="F267" s="14" t="str">
        <f aca="false">IF(A267="","",IF(C267="","",D267*B267*C267))</f>
        <v/>
      </c>
      <c r="G267" s="14" t="str">
        <f aca="false">IF(F267="","",F267-E267)</f>
        <v/>
      </c>
      <c r="H267" s="14" t="str">
        <f aca="false">IF(F267="","",IFERROR(F267-F266-(E267-E266),0))</f>
        <v/>
      </c>
    </row>
    <row r="268" customFormat="false" ht="15" hidden="false" customHeight="false" outlineLevel="0" collapsed="false">
      <c r="A268" s="13" t="str">
        <f aca="false">IF(Prices!A268="","",Prices!A268)</f>
        <v/>
      </c>
      <c r="B268" s="14" t="str">
        <f aca="false">IF(A268="","",Prices!C268)</f>
        <v/>
      </c>
      <c r="C268" s="15" t="str">
        <f aca="false">IF(A268="","",IFERROR(INDEX(FX!$B:$B,MATCH(A268,FX!$A:$A,1)),""))</f>
        <v/>
      </c>
      <c r="D268" s="14" t="str">
        <f aca="false">IF(A268="","",SUMIFS(Transactions!$D:$D,Transactions!$A:$A,"&lt;="&amp;A268,Transactions!$B:$B,Settings!$B$1))</f>
        <v/>
      </c>
      <c r="E268" s="14" t="str">
        <f aca="false">IF(A268="","",SUMIFS(Transactions!$C:$C,Transactions!$A:$A,"&lt;="&amp;A268,Transactions!$B:$B,Settings!$B$1)+SUMIFS(Transactions!$F:$F,Transactions!$A:$A,"&lt;="&amp;A268,Transactions!$B:$B,Settings!$B$1))</f>
        <v/>
      </c>
      <c r="F268" s="14" t="str">
        <f aca="false">IF(A268="","",IF(C268="","",D268*B268*C268))</f>
        <v/>
      </c>
      <c r="G268" s="14" t="str">
        <f aca="false">IF(F268="","",F268-E268)</f>
        <v/>
      </c>
      <c r="H268" s="14" t="str">
        <f aca="false">IF(F268="","",IFERROR(F268-F267-(E268-E267),0))</f>
        <v/>
      </c>
    </row>
    <row r="269" customFormat="false" ht="15" hidden="false" customHeight="false" outlineLevel="0" collapsed="false">
      <c r="A269" s="13" t="str">
        <f aca="false">IF(Prices!A269="","",Prices!A269)</f>
        <v/>
      </c>
      <c r="B269" s="14" t="str">
        <f aca="false">IF(A269="","",Prices!C269)</f>
        <v/>
      </c>
      <c r="C269" s="15" t="str">
        <f aca="false">IF(A269="","",IFERROR(INDEX(FX!$B:$B,MATCH(A269,FX!$A:$A,1)),""))</f>
        <v/>
      </c>
      <c r="D269" s="14" t="str">
        <f aca="false">IF(A269="","",SUMIFS(Transactions!$D:$D,Transactions!$A:$A,"&lt;="&amp;A269,Transactions!$B:$B,Settings!$B$1))</f>
        <v/>
      </c>
      <c r="E269" s="14" t="str">
        <f aca="false">IF(A269="","",SUMIFS(Transactions!$C:$C,Transactions!$A:$A,"&lt;="&amp;A269,Transactions!$B:$B,Settings!$B$1)+SUMIFS(Transactions!$F:$F,Transactions!$A:$A,"&lt;="&amp;A269,Transactions!$B:$B,Settings!$B$1))</f>
        <v/>
      </c>
      <c r="F269" s="14" t="str">
        <f aca="false">IF(A269="","",IF(C269="","",D269*B269*C269))</f>
        <v/>
      </c>
      <c r="G269" s="14" t="str">
        <f aca="false">IF(F269="","",F269-E269)</f>
        <v/>
      </c>
      <c r="H269" s="14" t="str">
        <f aca="false">IF(F269="","",IFERROR(F269-F268-(E269-E268),0))</f>
        <v/>
      </c>
    </row>
    <row r="270" customFormat="false" ht="15" hidden="false" customHeight="false" outlineLevel="0" collapsed="false">
      <c r="A270" s="13" t="str">
        <f aca="false">IF(Prices!A270="","",Prices!A270)</f>
        <v/>
      </c>
      <c r="B270" s="14" t="str">
        <f aca="false">IF(A270="","",Prices!C270)</f>
        <v/>
      </c>
      <c r="C270" s="15" t="str">
        <f aca="false">IF(A270="","",IFERROR(INDEX(FX!$B:$B,MATCH(A270,FX!$A:$A,1)),""))</f>
        <v/>
      </c>
      <c r="D270" s="14" t="str">
        <f aca="false">IF(A270="","",SUMIFS(Transactions!$D:$D,Transactions!$A:$A,"&lt;="&amp;A270,Transactions!$B:$B,Settings!$B$1))</f>
        <v/>
      </c>
      <c r="E270" s="14" t="str">
        <f aca="false">IF(A270="","",SUMIFS(Transactions!$C:$C,Transactions!$A:$A,"&lt;="&amp;A270,Transactions!$B:$B,Settings!$B$1)+SUMIFS(Transactions!$F:$F,Transactions!$A:$A,"&lt;="&amp;A270,Transactions!$B:$B,Settings!$B$1))</f>
        <v/>
      </c>
      <c r="F270" s="14" t="str">
        <f aca="false">IF(A270="","",IF(C270="","",D270*B270*C270))</f>
        <v/>
      </c>
      <c r="G270" s="14" t="str">
        <f aca="false">IF(F270="","",F270-E270)</f>
        <v/>
      </c>
      <c r="H270" s="14" t="str">
        <f aca="false">IF(F270="","",IFERROR(F270-F269-(E270-E269),0))</f>
        <v/>
      </c>
    </row>
    <row r="271" customFormat="false" ht="15" hidden="false" customHeight="false" outlineLevel="0" collapsed="false">
      <c r="A271" s="13" t="str">
        <f aca="false">IF(Prices!A271="","",Prices!A271)</f>
        <v/>
      </c>
      <c r="B271" s="14" t="str">
        <f aca="false">IF(A271="","",Prices!C271)</f>
        <v/>
      </c>
      <c r="C271" s="15" t="str">
        <f aca="false">IF(A271="","",IFERROR(INDEX(FX!$B:$B,MATCH(A271,FX!$A:$A,1)),""))</f>
        <v/>
      </c>
      <c r="D271" s="14" t="str">
        <f aca="false">IF(A271="","",SUMIFS(Transactions!$D:$D,Transactions!$A:$A,"&lt;="&amp;A271,Transactions!$B:$B,Settings!$B$1))</f>
        <v/>
      </c>
      <c r="E271" s="14" t="str">
        <f aca="false">IF(A271="","",SUMIFS(Transactions!$C:$C,Transactions!$A:$A,"&lt;="&amp;A271,Transactions!$B:$B,Settings!$B$1)+SUMIFS(Transactions!$F:$F,Transactions!$A:$A,"&lt;="&amp;A271,Transactions!$B:$B,Settings!$B$1))</f>
        <v/>
      </c>
      <c r="F271" s="14" t="str">
        <f aca="false">IF(A271="","",IF(C271="","",D271*B271*C271))</f>
        <v/>
      </c>
      <c r="G271" s="14" t="str">
        <f aca="false">IF(F271="","",F271-E271)</f>
        <v/>
      </c>
      <c r="H271" s="14" t="str">
        <f aca="false">IF(F271="","",IFERROR(F271-F270-(E271-E270),0))</f>
        <v/>
      </c>
    </row>
    <row r="272" customFormat="false" ht="15" hidden="false" customHeight="false" outlineLevel="0" collapsed="false">
      <c r="A272" s="13" t="str">
        <f aca="false">IF(Prices!A272="","",Prices!A272)</f>
        <v/>
      </c>
      <c r="B272" s="14" t="str">
        <f aca="false">IF(A272="","",Prices!C272)</f>
        <v/>
      </c>
      <c r="C272" s="15" t="str">
        <f aca="false">IF(A272="","",IFERROR(INDEX(FX!$B:$B,MATCH(A272,FX!$A:$A,1)),""))</f>
        <v/>
      </c>
      <c r="D272" s="14" t="str">
        <f aca="false">IF(A272="","",SUMIFS(Transactions!$D:$D,Transactions!$A:$A,"&lt;="&amp;A272,Transactions!$B:$B,Settings!$B$1))</f>
        <v/>
      </c>
      <c r="E272" s="14" t="str">
        <f aca="false">IF(A272="","",SUMIFS(Transactions!$C:$C,Transactions!$A:$A,"&lt;="&amp;A272,Transactions!$B:$B,Settings!$B$1)+SUMIFS(Transactions!$F:$F,Transactions!$A:$A,"&lt;="&amp;A272,Transactions!$B:$B,Settings!$B$1))</f>
        <v/>
      </c>
      <c r="F272" s="14" t="str">
        <f aca="false">IF(A272="","",IF(C272="","",D272*B272*C272))</f>
        <v/>
      </c>
      <c r="G272" s="14" t="str">
        <f aca="false">IF(F272="","",F272-E272)</f>
        <v/>
      </c>
      <c r="H272" s="14" t="str">
        <f aca="false">IF(F272="","",IFERROR(F272-F271-(E272-E271),0))</f>
        <v/>
      </c>
    </row>
    <row r="273" customFormat="false" ht="15" hidden="false" customHeight="false" outlineLevel="0" collapsed="false">
      <c r="A273" s="13" t="str">
        <f aca="false">IF(Prices!A273="","",Prices!A273)</f>
        <v/>
      </c>
      <c r="B273" s="14" t="str">
        <f aca="false">IF(A273="","",Prices!C273)</f>
        <v/>
      </c>
      <c r="C273" s="15" t="str">
        <f aca="false">IF(A273="","",IFERROR(INDEX(FX!$B:$B,MATCH(A273,FX!$A:$A,1)),""))</f>
        <v/>
      </c>
      <c r="D273" s="14" t="str">
        <f aca="false">IF(A273="","",SUMIFS(Transactions!$D:$D,Transactions!$A:$A,"&lt;="&amp;A273,Transactions!$B:$B,Settings!$B$1))</f>
        <v/>
      </c>
      <c r="E273" s="14" t="str">
        <f aca="false">IF(A273="","",SUMIFS(Transactions!$C:$C,Transactions!$A:$A,"&lt;="&amp;A273,Transactions!$B:$B,Settings!$B$1)+SUMIFS(Transactions!$F:$F,Transactions!$A:$A,"&lt;="&amp;A273,Transactions!$B:$B,Settings!$B$1))</f>
        <v/>
      </c>
      <c r="F273" s="14" t="str">
        <f aca="false">IF(A273="","",IF(C273="","",D273*B273*C273))</f>
        <v/>
      </c>
      <c r="G273" s="14" t="str">
        <f aca="false">IF(F273="","",F273-E273)</f>
        <v/>
      </c>
      <c r="H273" s="14" t="str">
        <f aca="false">IF(F273="","",IFERROR(F273-F272-(E273-E272),0))</f>
        <v/>
      </c>
    </row>
    <row r="274" customFormat="false" ht="15" hidden="false" customHeight="false" outlineLevel="0" collapsed="false">
      <c r="A274" s="13" t="str">
        <f aca="false">IF(Prices!A274="","",Prices!A274)</f>
        <v/>
      </c>
      <c r="B274" s="14" t="str">
        <f aca="false">IF(A274="","",Prices!C274)</f>
        <v/>
      </c>
      <c r="C274" s="15" t="str">
        <f aca="false">IF(A274="","",IFERROR(INDEX(FX!$B:$B,MATCH(A274,FX!$A:$A,1)),""))</f>
        <v/>
      </c>
      <c r="D274" s="14" t="str">
        <f aca="false">IF(A274="","",SUMIFS(Transactions!$D:$D,Transactions!$A:$A,"&lt;="&amp;A274,Transactions!$B:$B,Settings!$B$1))</f>
        <v/>
      </c>
      <c r="E274" s="14" t="str">
        <f aca="false">IF(A274="","",SUMIFS(Transactions!$C:$C,Transactions!$A:$A,"&lt;="&amp;A274,Transactions!$B:$B,Settings!$B$1)+SUMIFS(Transactions!$F:$F,Transactions!$A:$A,"&lt;="&amp;A274,Transactions!$B:$B,Settings!$B$1))</f>
        <v/>
      </c>
      <c r="F274" s="14" t="str">
        <f aca="false">IF(A274="","",IF(C274="","",D274*B274*C274))</f>
        <v/>
      </c>
      <c r="G274" s="14" t="str">
        <f aca="false">IF(F274="","",F274-E274)</f>
        <v/>
      </c>
      <c r="H274" s="14" t="str">
        <f aca="false">IF(F274="","",IFERROR(F274-F273-(E274-E273),0))</f>
        <v/>
      </c>
    </row>
    <row r="275" customFormat="false" ht="15" hidden="false" customHeight="false" outlineLevel="0" collapsed="false">
      <c r="A275" s="13" t="str">
        <f aca="false">IF(Prices!A275="","",Prices!A275)</f>
        <v/>
      </c>
      <c r="B275" s="14" t="str">
        <f aca="false">IF(A275="","",Prices!C275)</f>
        <v/>
      </c>
      <c r="C275" s="15" t="str">
        <f aca="false">IF(A275="","",IFERROR(INDEX(FX!$B:$B,MATCH(A275,FX!$A:$A,1)),""))</f>
        <v/>
      </c>
      <c r="D275" s="14" t="str">
        <f aca="false">IF(A275="","",SUMIFS(Transactions!$D:$D,Transactions!$A:$A,"&lt;="&amp;A275,Transactions!$B:$B,Settings!$B$1))</f>
        <v/>
      </c>
      <c r="E275" s="14" t="str">
        <f aca="false">IF(A275="","",SUMIFS(Transactions!$C:$C,Transactions!$A:$A,"&lt;="&amp;A275,Transactions!$B:$B,Settings!$B$1)+SUMIFS(Transactions!$F:$F,Transactions!$A:$A,"&lt;="&amp;A275,Transactions!$B:$B,Settings!$B$1))</f>
        <v/>
      </c>
      <c r="F275" s="14" t="str">
        <f aca="false">IF(A275="","",IF(C275="","",D275*B275*C275))</f>
        <v/>
      </c>
      <c r="G275" s="14" t="str">
        <f aca="false">IF(F275="","",F275-E275)</f>
        <v/>
      </c>
      <c r="H275" s="14" t="str">
        <f aca="false">IF(F275="","",IFERROR(F275-F274-(E275-E274),0))</f>
        <v/>
      </c>
    </row>
    <row r="276" customFormat="false" ht="15" hidden="false" customHeight="false" outlineLevel="0" collapsed="false">
      <c r="A276" s="13" t="str">
        <f aca="false">IF(Prices!A276="","",Prices!A276)</f>
        <v/>
      </c>
      <c r="B276" s="14" t="str">
        <f aca="false">IF(A276="","",Prices!C276)</f>
        <v/>
      </c>
      <c r="C276" s="15" t="str">
        <f aca="false">IF(A276="","",IFERROR(INDEX(FX!$B:$B,MATCH(A276,FX!$A:$A,1)),""))</f>
        <v/>
      </c>
      <c r="D276" s="14" t="str">
        <f aca="false">IF(A276="","",SUMIFS(Transactions!$D:$D,Transactions!$A:$A,"&lt;="&amp;A276,Transactions!$B:$B,Settings!$B$1))</f>
        <v/>
      </c>
      <c r="E276" s="14" t="str">
        <f aca="false">IF(A276="","",SUMIFS(Transactions!$C:$C,Transactions!$A:$A,"&lt;="&amp;A276,Transactions!$B:$B,Settings!$B$1)+SUMIFS(Transactions!$F:$F,Transactions!$A:$A,"&lt;="&amp;A276,Transactions!$B:$B,Settings!$B$1))</f>
        <v/>
      </c>
      <c r="F276" s="14" t="str">
        <f aca="false">IF(A276="","",IF(C276="","",D276*B276*C276))</f>
        <v/>
      </c>
      <c r="G276" s="14" t="str">
        <f aca="false">IF(F276="","",F276-E276)</f>
        <v/>
      </c>
      <c r="H276" s="14" t="str">
        <f aca="false">IF(F276="","",IFERROR(F276-F275-(E276-E275),0))</f>
        <v/>
      </c>
    </row>
    <row r="277" customFormat="false" ht="15" hidden="false" customHeight="false" outlineLevel="0" collapsed="false">
      <c r="A277" s="13" t="str">
        <f aca="false">IF(Prices!A277="","",Prices!A277)</f>
        <v/>
      </c>
      <c r="B277" s="14" t="str">
        <f aca="false">IF(A277="","",Prices!C277)</f>
        <v/>
      </c>
      <c r="C277" s="15" t="str">
        <f aca="false">IF(A277="","",IFERROR(INDEX(FX!$B:$B,MATCH(A277,FX!$A:$A,1)),""))</f>
        <v/>
      </c>
      <c r="D277" s="14" t="str">
        <f aca="false">IF(A277="","",SUMIFS(Transactions!$D:$D,Transactions!$A:$A,"&lt;="&amp;A277,Transactions!$B:$B,Settings!$B$1))</f>
        <v/>
      </c>
      <c r="E277" s="14" t="str">
        <f aca="false">IF(A277="","",SUMIFS(Transactions!$C:$C,Transactions!$A:$A,"&lt;="&amp;A277,Transactions!$B:$B,Settings!$B$1)+SUMIFS(Transactions!$F:$F,Transactions!$A:$A,"&lt;="&amp;A277,Transactions!$B:$B,Settings!$B$1))</f>
        <v/>
      </c>
      <c r="F277" s="14" t="str">
        <f aca="false">IF(A277="","",IF(C277="","",D277*B277*C277))</f>
        <v/>
      </c>
      <c r="G277" s="14" t="str">
        <f aca="false">IF(F277="","",F277-E277)</f>
        <v/>
      </c>
      <c r="H277" s="14" t="str">
        <f aca="false">IF(F277="","",IFERROR(F277-F276-(E277-E276),0))</f>
        <v/>
      </c>
    </row>
    <row r="278" customFormat="false" ht="15" hidden="false" customHeight="false" outlineLevel="0" collapsed="false">
      <c r="A278" s="13" t="str">
        <f aca="false">IF(Prices!A278="","",Prices!A278)</f>
        <v/>
      </c>
      <c r="B278" s="14" t="str">
        <f aca="false">IF(A278="","",Prices!C278)</f>
        <v/>
      </c>
      <c r="C278" s="15" t="str">
        <f aca="false">IF(A278="","",IFERROR(INDEX(FX!$B:$B,MATCH(A278,FX!$A:$A,1)),""))</f>
        <v/>
      </c>
      <c r="D278" s="14" t="str">
        <f aca="false">IF(A278="","",SUMIFS(Transactions!$D:$D,Transactions!$A:$A,"&lt;="&amp;A278,Transactions!$B:$B,Settings!$B$1))</f>
        <v/>
      </c>
      <c r="E278" s="14" t="str">
        <f aca="false">IF(A278="","",SUMIFS(Transactions!$C:$C,Transactions!$A:$A,"&lt;="&amp;A278,Transactions!$B:$B,Settings!$B$1)+SUMIFS(Transactions!$F:$F,Transactions!$A:$A,"&lt;="&amp;A278,Transactions!$B:$B,Settings!$B$1))</f>
        <v/>
      </c>
      <c r="F278" s="14" t="str">
        <f aca="false">IF(A278="","",IF(C278="","",D278*B278*C278))</f>
        <v/>
      </c>
      <c r="G278" s="14" t="str">
        <f aca="false">IF(F278="","",F278-E278)</f>
        <v/>
      </c>
      <c r="H278" s="14" t="str">
        <f aca="false">IF(F278="","",IFERROR(F278-F277-(E278-E277),0))</f>
        <v/>
      </c>
    </row>
    <row r="279" customFormat="false" ht="15" hidden="false" customHeight="false" outlineLevel="0" collapsed="false">
      <c r="A279" s="13" t="str">
        <f aca="false">IF(Prices!A279="","",Prices!A279)</f>
        <v/>
      </c>
      <c r="B279" s="14" t="str">
        <f aca="false">IF(A279="","",Prices!C279)</f>
        <v/>
      </c>
      <c r="C279" s="15" t="str">
        <f aca="false">IF(A279="","",IFERROR(INDEX(FX!$B:$B,MATCH(A279,FX!$A:$A,1)),""))</f>
        <v/>
      </c>
      <c r="D279" s="14" t="str">
        <f aca="false">IF(A279="","",SUMIFS(Transactions!$D:$D,Transactions!$A:$A,"&lt;="&amp;A279,Transactions!$B:$B,Settings!$B$1))</f>
        <v/>
      </c>
      <c r="E279" s="14" t="str">
        <f aca="false">IF(A279="","",SUMIFS(Transactions!$C:$C,Transactions!$A:$A,"&lt;="&amp;A279,Transactions!$B:$B,Settings!$B$1)+SUMIFS(Transactions!$F:$F,Transactions!$A:$A,"&lt;="&amp;A279,Transactions!$B:$B,Settings!$B$1))</f>
        <v/>
      </c>
      <c r="F279" s="14" t="str">
        <f aca="false">IF(A279="","",IF(C279="","",D279*B279*C279))</f>
        <v/>
      </c>
      <c r="G279" s="14" t="str">
        <f aca="false">IF(F279="","",F279-E279)</f>
        <v/>
      </c>
      <c r="H279" s="14" t="str">
        <f aca="false">IF(F279="","",IFERROR(F279-F278-(E279-E278),0))</f>
        <v/>
      </c>
    </row>
    <row r="280" customFormat="false" ht="15" hidden="false" customHeight="false" outlineLevel="0" collapsed="false">
      <c r="A280" s="13" t="str">
        <f aca="false">IF(Prices!A280="","",Prices!A280)</f>
        <v/>
      </c>
      <c r="B280" s="14" t="str">
        <f aca="false">IF(A280="","",Prices!C280)</f>
        <v/>
      </c>
      <c r="C280" s="15" t="str">
        <f aca="false">IF(A280="","",IFERROR(INDEX(FX!$B:$B,MATCH(A280,FX!$A:$A,1)),""))</f>
        <v/>
      </c>
      <c r="D280" s="14" t="str">
        <f aca="false">IF(A280="","",SUMIFS(Transactions!$D:$D,Transactions!$A:$A,"&lt;="&amp;A280,Transactions!$B:$B,Settings!$B$1))</f>
        <v/>
      </c>
      <c r="E280" s="14" t="str">
        <f aca="false">IF(A280="","",SUMIFS(Transactions!$C:$C,Transactions!$A:$A,"&lt;="&amp;A280,Transactions!$B:$B,Settings!$B$1)+SUMIFS(Transactions!$F:$F,Transactions!$A:$A,"&lt;="&amp;A280,Transactions!$B:$B,Settings!$B$1))</f>
        <v/>
      </c>
      <c r="F280" s="14" t="str">
        <f aca="false">IF(A280="","",IF(C280="","",D280*B280*C280))</f>
        <v/>
      </c>
      <c r="G280" s="14" t="str">
        <f aca="false">IF(F280="","",F280-E280)</f>
        <v/>
      </c>
      <c r="H280" s="14" t="str">
        <f aca="false">IF(F280="","",IFERROR(F280-F279-(E280-E279),0))</f>
        <v/>
      </c>
    </row>
    <row r="281" customFormat="false" ht="15" hidden="false" customHeight="false" outlineLevel="0" collapsed="false">
      <c r="A281" s="13" t="str">
        <f aca="false">IF(Prices!A281="","",Prices!A281)</f>
        <v/>
      </c>
      <c r="B281" s="14" t="str">
        <f aca="false">IF(A281="","",Prices!C281)</f>
        <v/>
      </c>
      <c r="C281" s="15" t="str">
        <f aca="false">IF(A281="","",IFERROR(INDEX(FX!$B:$B,MATCH(A281,FX!$A:$A,1)),""))</f>
        <v/>
      </c>
      <c r="D281" s="14" t="str">
        <f aca="false">IF(A281="","",SUMIFS(Transactions!$D:$D,Transactions!$A:$A,"&lt;="&amp;A281,Transactions!$B:$B,Settings!$B$1))</f>
        <v/>
      </c>
      <c r="E281" s="14" t="str">
        <f aca="false">IF(A281="","",SUMIFS(Transactions!$C:$C,Transactions!$A:$A,"&lt;="&amp;A281,Transactions!$B:$B,Settings!$B$1)+SUMIFS(Transactions!$F:$F,Transactions!$A:$A,"&lt;="&amp;A281,Transactions!$B:$B,Settings!$B$1))</f>
        <v/>
      </c>
      <c r="F281" s="14" t="str">
        <f aca="false">IF(A281="","",IF(C281="","",D281*B281*C281))</f>
        <v/>
      </c>
      <c r="G281" s="14" t="str">
        <f aca="false">IF(F281="","",F281-E281)</f>
        <v/>
      </c>
      <c r="H281" s="14" t="str">
        <f aca="false">IF(F281="","",IFERROR(F281-F280-(E281-E280),0))</f>
        <v/>
      </c>
    </row>
    <row r="282" customFormat="false" ht="15" hidden="false" customHeight="false" outlineLevel="0" collapsed="false">
      <c r="A282" s="13" t="str">
        <f aca="false">IF(Prices!A282="","",Prices!A282)</f>
        <v/>
      </c>
      <c r="B282" s="14" t="str">
        <f aca="false">IF(A282="","",Prices!C282)</f>
        <v/>
      </c>
      <c r="C282" s="15" t="str">
        <f aca="false">IF(A282="","",IFERROR(INDEX(FX!$B:$B,MATCH(A282,FX!$A:$A,1)),""))</f>
        <v/>
      </c>
      <c r="D282" s="14" t="str">
        <f aca="false">IF(A282="","",SUMIFS(Transactions!$D:$D,Transactions!$A:$A,"&lt;="&amp;A282,Transactions!$B:$B,Settings!$B$1))</f>
        <v/>
      </c>
      <c r="E282" s="14" t="str">
        <f aca="false">IF(A282="","",SUMIFS(Transactions!$C:$C,Transactions!$A:$A,"&lt;="&amp;A282,Transactions!$B:$B,Settings!$B$1)+SUMIFS(Transactions!$F:$F,Transactions!$A:$A,"&lt;="&amp;A282,Transactions!$B:$B,Settings!$B$1))</f>
        <v/>
      </c>
      <c r="F282" s="14" t="str">
        <f aca="false">IF(A282="","",IF(C282="","",D282*B282*C282))</f>
        <v/>
      </c>
      <c r="G282" s="14" t="str">
        <f aca="false">IF(F282="","",F282-E282)</f>
        <v/>
      </c>
      <c r="H282" s="14" t="str">
        <f aca="false">IF(F282="","",IFERROR(F282-F281-(E282-E281),0))</f>
        <v/>
      </c>
    </row>
    <row r="283" customFormat="false" ht="15" hidden="false" customHeight="false" outlineLevel="0" collapsed="false">
      <c r="A283" s="13" t="str">
        <f aca="false">IF(Prices!A283="","",Prices!A283)</f>
        <v/>
      </c>
      <c r="B283" s="14" t="str">
        <f aca="false">IF(A283="","",Prices!C283)</f>
        <v/>
      </c>
      <c r="C283" s="15" t="str">
        <f aca="false">IF(A283="","",IFERROR(INDEX(FX!$B:$B,MATCH(A283,FX!$A:$A,1)),""))</f>
        <v/>
      </c>
      <c r="D283" s="14" t="str">
        <f aca="false">IF(A283="","",SUMIFS(Transactions!$D:$D,Transactions!$A:$A,"&lt;="&amp;A283,Transactions!$B:$B,Settings!$B$1))</f>
        <v/>
      </c>
      <c r="E283" s="14" t="str">
        <f aca="false">IF(A283="","",SUMIFS(Transactions!$C:$C,Transactions!$A:$A,"&lt;="&amp;A283,Transactions!$B:$B,Settings!$B$1)+SUMIFS(Transactions!$F:$F,Transactions!$A:$A,"&lt;="&amp;A283,Transactions!$B:$B,Settings!$B$1))</f>
        <v/>
      </c>
      <c r="F283" s="14" t="str">
        <f aca="false">IF(A283="","",IF(C283="","",D283*B283*C283))</f>
        <v/>
      </c>
      <c r="G283" s="14" t="str">
        <f aca="false">IF(F283="","",F283-E283)</f>
        <v/>
      </c>
      <c r="H283" s="14" t="str">
        <f aca="false">IF(F283="","",IFERROR(F283-F282-(E283-E282),0))</f>
        <v/>
      </c>
    </row>
    <row r="284" customFormat="false" ht="15" hidden="false" customHeight="false" outlineLevel="0" collapsed="false">
      <c r="A284" s="13" t="str">
        <f aca="false">IF(Prices!A284="","",Prices!A284)</f>
        <v/>
      </c>
      <c r="B284" s="14" t="str">
        <f aca="false">IF(A284="","",Prices!C284)</f>
        <v/>
      </c>
      <c r="C284" s="15" t="str">
        <f aca="false">IF(A284="","",IFERROR(INDEX(FX!$B:$B,MATCH(A284,FX!$A:$A,1)),""))</f>
        <v/>
      </c>
      <c r="D284" s="14" t="str">
        <f aca="false">IF(A284="","",SUMIFS(Transactions!$D:$D,Transactions!$A:$A,"&lt;="&amp;A284,Transactions!$B:$B,Settings!$B$1))</f>
        <v/>
      </c>
      <c r="E284" s="14" t="str">
        <f aca="false">IF(A284="","",SUMIFS(Transactions!$C:$C,Transactions!$A:$A,"&lt;="&amp;A284,Transactions!$B:$B,Settings!$B$1)+SUMIFS(Transactions!$F:$F,Transactions!$A:$A,"&lt;="&amp;A284,Transactions!$B:$B,Settings!$B$1))</f>
        <v/>
      </c>
      <c r="F284" s="14" t="str">
        <f aca="false">IF(A284="","",IF(C284="","",D284*B284*C284))</f>
        <v/>
      </c>
      <c r="G284" s="14" t="str">
        <f aca="false">IF(F284="","",F284-E284)</f>
        <v/>
      </c>
      <c r="H284" s="14" t="str">
        <f aca="false">IF(F284="","",IFERROR(F284-F283-(E284-E283),0))</f>
        <v/>
      </c>
    </row>
    <row r="285" customFormat="false" ht="15" hidden="false" customHeight="false" outlineLevel="0" collapsed="false">
      <c r="A285" s="13" t="str">
        <f aca="false">IF(Prices!A285="","",Prices!A285)</f>
        <v/>
      </c>
      <c r="B285" s="14" t="str">
        <f aca="false">IF(A285="","",Prices!C285)</f>
        <v/>
      </c>
      <c r="C285" s="15" t="str">
        <f aca="false">IF(A285="","",IFERROR(INDEX(FX!$B:$B,MATCH(A285,FX!$A:$A,1)),""))</f>
        <v/>
      </c>
      <c r="D285" s="14" t="str">
        <f aca="false">IF(A285="","",SUMIFS(Transactions!$D:$D,Transactions!$A:$A,"&lt;="&amp;A285,Transactions!$B:$B,Settings!$B$1))</f>
        <v/>
      </c>
      <c r="E285" s="14" t="str">
        <f aca="false">IF(A285="","",SUMIFS(Transactions!$C:$C,Transactions!$A:$A,"&lt;="&amp;A285,Transactions!$B:$B,Settings!$B$1)+SUMIFS(Transactions!$F:$F,Transactions!$A:$A,"&lt;="&amp;A285,Transactions!$B:$B,Settings!$B$1))</f>
        <v/>
      </c>
      <c r="F285" s="14" t="str">
        <f aca="false">IF(A285="","",IF(C285="","",D285*B285*C285))</f>
        <v/>
      </c>
      <c r="G285" s="14" t="str">
        <f aca="false">IF(F285="","",F285-E285)</f>
        <v/>
      </c>
      <c r="H285" s="14" t="str">
        <f aca="false">IF(F285="","",IFERROR(F285-F284-(E285-E284),0))</f>
        <v/>
      </c>
    </row>
    <row r="286" customFormat="false" ht="15" hidden="false" customHeight="false" outlineLevel="0" collapsed="false">
      <c r="A286" s="13" t="str">
        <f aca="false">IF(Prices!A286="","",Prices!A286)</f>
        <v/>
      </c>
      <c r="B286" s="14" t="str">
        <f aca="false">IF(A286="","",Prices!C286)</f>
        <v/>
      </c>
      <c r="C286" s="15" t="str">
        <f aca="false">IF(A286="","",IFERROR(INDEX(FX!$B:$B,MATCH(A286,FX!$A:$A,1)),""))</f>
        <v/>
      </c>
      <c r="D286" s="14" t="str">
        <f aca="false">IF(A286="","",SUMIFS(Transactions!$D:$D,Transactions!$A:$A,"&lt;="&amp;A286,Transactions!$B:$B,Settings!$B$1))</f>
        <v/>
      </c>
      <c r="E286" s="14" t="str">
        <f aca="false">IF(A286="","",SUMIFS(Transactions!$C:$C,Transactions!$A:$A,"&lt;="&amp;A286,Transactions!$B:$B,Settings!$B$1)+SUMIFS(Transactions!$F:$F,Transactions!$A:$A,"&lt;="&amp;A286,Transactions!$B:$B,Settings!$B$1))</f>
        <v/>
      </c>
      <c r="F286" s="14" t="str">
        <f aca="false">IF(A286="","",IF(C286="","",D286*B286*C286))</f>
        <v/>
      </c>
      <c r="G286" s="14" t="str">
        <f aca="false">IF(F286="","",F286-E286)</f>
        <v/>
      </c>
      <c r="H286" s="14" t="str">
        <f aca="false">IF(F286="","",IFERROR(F286-F285-(E286-E285),0))</f>
        <v/>
      </c>
    </row>
    <row r="287" customFormat="false" ht="15" hidden="false" customHeight="false" outlineLevel="0" collapsed="false">
      <c r="A287" s="13" t="str">
        <f aca="false">IF(Prices!A287="","",Prices!A287)</f>
        <v/>
      </c>
      <c r="B287" s="14" t="str">
        <f aca="false">IF(A287="","",Prices!C287)</f>
        <v/>
      </c>
      <c r="C287" s="15" t="str">
        <f aca="false">IF(A287="","",IFERROR(INDEX(FX!$B:$B,MATCH(A287,FX!$A:$A,1)),""))</f>
        <v/>
      </c>
      <c r="D287" s="14" t="str">
        <f aca="false">IF(A287="","",SUMIFS(Transactions!$D:$D,Transactions!$A:$A,"&lt;="&amp;A287,Transactions!$B:$B,Settings!$B$1))</f>
        <v/>
      </c>
      <c r="E287" s="14" t="str">
        <f aca="false">IF(A287="","",SUMIFS(Transactions!$C:$C,Transactions!$A:$A,"&lt;="&amp;A287,Transactions!$B:$B,Settings!$B$1)+SUMIFS(Transactions!$F:$F,Transactions!$A:$A,"&lt;="&amp;A287,Transactions!$B:$B,Settings!$B$1))</f>
        <v/>
      </c>
      <c r="F287" s="14" t="str">
        <f aca="false">IF(A287="","",IF(C287="","",D287*B287*C287))</f>
        <v/>
      </c>
      <c r="G287" s="14" t="str">
        <f aca="false">IF(F287="","",F287-E287)</f>
        <v/>
      </c>
      <c r="H287" s="14" t="str">
        <f aca="false">IF(F287="","",IFERROR(F287-F286-(E287-E286),0))</f>
        <v/>
      </c>
    </row>
    <row r="288" customFormat="false" ht="15" hidden="false" customHeight="false" outlineLevel="0" collapsed="false">
      <c r="A288" s="13" t="str">
        <f aca="false">IF(Prices!A288="","",Prices!A288)</f>
        <v/>
      </c>
      <c r="B288" s="14" t="str">
        <f aca="false">IF(A288="","",Prices!C288)</f>
        <v/>
      </c>
      <c r="C288" s="15" t="str">
        <f aca="false">IF(A288="","",IFERROR(INDEX(FX!$B:$B,MATCH(A288,FX!$A:$A,1)),""))</f>
        <v/>
      </c>
      <c r="D288" s="14" t="str">
        <f aca="false">IF(A288="","",SUMIFS(Transactions!$D:$D,Transactions!$A:$A,"&lt;="&amp;A288,Transactions!$B:$B,Settings!$B$1))</f>
        <v/>
      </c>
      <c r="E288" s="14" t="str">
        <f aca="false">IF(A288="","",SUMIFS(Transactions!$C:$C,Transactions!$A:$A,"&lt;="&amp;A288,Transactions!$B:$B,Settings!$B$1)+SUMIFS(Transactions!$F:$F,Transactions!$A:$A,"&lt;="&amp;A288,Transactions!$B:$B,Settings!$B$1))</f>
        <v/>
      </c>
      <c r="F288" s="14" t="str">
        <f aca="false">IF(A288="","",IF(C288="","",D288*B288*C288))</f>
        <v/>
      </c>
      <c r="G288" s="14" t="str">
        <f aca="false">IF(F288="","",F288-E288)</f>
        <v/>
      </c>
      <c r="H288" s="14" t="str">
        <f aca="false">IF(F288="","",IFERROR(F288-F287-(E288-E287),0))</f>
        <v/>
      </c>
    </row>
    <row r="289" customFormat="false" ht="15" hidden="false" customHeight="false" outlineLevel="0" collapsed="false">
      <c r="A289" s="13" t="str">
        <f aca="false">IF(Prices!A289="","",Prices!A289)</f>
        <v/>
      </c>
      <c r="B289" s="14" t="str">
        <f aca="false">IF(A289="","",Prices!C289)</f>
        <v/>
      </c>
      <c r="C289" s="15" t="str">
        <f aca="false">IF(A289="","",IFERROR(INDEX(FX!$B:$B,MATCH(A289,FX!$A:$A,1)),""))</f>
        <v/>
      </c>
      <c r="D289" s="14" t="str">
        <f aca="false">IF(A289="","",SUMIFS(Transactions!$D:$D,Transactions!$A:$A,"&lt;="&amp;A289,Transactions!$B:$B,Settings!$B$1))</f>
        <v/>
      </c>
      <c r="E289" s="14" t="str">
        <f aca="false">IF(A289="","",SUMIFS(Transactions!$C:$C,Transactions!$A:$A,"&lt;="&amp;A289,Transactions!$B:$B,Settings!$B$1)+SUMIFS(Transactions!$F:$F,Transactions!$A:$A,"&lt;="&amp;A289,Transactions!$B:$B,Settings!$B$1))</f>
        <v/>
      </c>
      <c r="F289" s="14" t="str">
        <f aca="false">IF(A289="","",IF(C289="","",D289*B289*C289))</f>
        <v/>
      </c>
      <c r="G289" s="14" t="str">
        <f aca="false">IF(F289="","",F289-E289)</f>
        <v/>
      </c>
      <c r="H289" s="14" t="str">
        <f aca="false">IF(F289="","",IFERROR(F289-F288-(E289-E288),0))</f>
        <v/>
      </c>
    </row>
    <row r="290" customFormat="false" ht="15" hidden="false" customHeight="false" outlineLevel="0" collapsed="false">
      <c r="A290" s="13" t="str">
        <f aca="false">IF(Prices!A290="","",Prices!A290)</f>
        <v/>
      </c>
      <c r="B290" s="14" t="str">
        <f aca="false">IF(A290="","",Prices!C290)</f>
        <v/>
      </c>
      <c r="C290" s="15" t="str">
        <f aca="false">IF(A290="","",IFERROR(INDEX(FX!$B:$B,MATCH(A290,FX!$A:$A,1)),""))</f>
        <v/>
      </c>
      <c r="D290" s="14" t="str">
        <f aca="false">IF(A290="","",SUMIFS(Transactions!$D:$D,Transactions!$A:$A,"&lt;="&amp;A290,Transactions!$B:$B,Settings!$B$1))</f>
        <v/>
      </c>
      <c r="E290" s="14" t="str">
        <f aca="false">IF(A290="","",SUMIFS(Transactions!$C:$C,Transactions!$A:$A,"&lt;="&amp;A290,Transactions!$B:$B,Settings!$B$1)+SUMIFS(Transactions!$F:$F,Transactions!$A:$A,"&lt;="&amp;A290,Transactions!$B:$B,Settings!$B$1))</f>
        <v/>
      </c>
      <c r="F290" s="14" t="str">
        <f aca="false">IF(A290="","",IF(C290="","",D290*B290*C290))</f>
        <v/>
      </c>
      <c r="G290" s="14" t="str">
        <f aca="false">IF(F290="","",F290-E290)</f>
        <v/>
      </c>
      <c r="H290" s="14" t="str">
        <f aca="false">IF(F290="","",IFERROR(F290-F289-(E290-E289),0))</f>
        <v/>
      </c>
    </row>
    <row r="291" customFormat="false" ht="15" hidden="false" customHeight="false" outlineLevel="0" collapsed="false">
      <c r="A291" s="13" t="str">
        <f aca="false">IF(Prices!A291="","",Prices!A291)</f>
        <v/>
      </c>
      <c r="B291" s="14" t="str">
        <f aca="false">IF(A291="","",Prices!C291)</f>
        <v/>
      </c>
      <c r="C291" s="15" t="str">
        <f aca="false">IF(A291="","",IFERROR(INDEX(FX!$B:$B,MATCH(A291,FX!$A:$A,1)),""))</f>
        <v/>
      </c>
      <c r="D291" s="14" t="str">
        <f aca="false">IF(A291="","",SUMIFS(Transactions!$D:$D,Transactions!$A:$A,"&lt;="&amp;A291,Transactions!$B:$B,Settings!$B$1))</f>
        <v/>
      </c>
      <c r="E291" s="14" t="str">
        <f aca="false">IF(A291="","",SUMIFS(Transactions!$C:$C,Transactions!$A:$A,"&lt;="&amp;A291,Transactions!$B:$B,Settings!$B$1)+SUMIFS(Transactions!$F:$F,Transactions!$A:$A,"&lt;="&amp;A291,Transactions!$B:$B,Settings!$B$1))</f>
        <v/>
      </c>
      <c r="F291" s="14" t="str">
        <f aca="false">IF(A291="","",IF(C291="","",D291*B291*C291))</f>
        <v/>
      </c>
      <c r="G291" s="14" t="str">
        <f aca="false">IF(F291="","",F291-E291)</f>
        <v/>
      </c>
      <c r="H291" s="14" t="str">
        <f aca="false">IF(F291="","",IFERROR(F291-F290-(E291-E290),0))</f>
        <v/>
      </c>
    </row>
    <row r="292" customFormat="false" ht="15" hidden="false" customHeight="false" outlineLevel="0" collapsed="false">
      <c r="A292" s="13" t="str">
        <f aca="false">IF(Prices!A292="","",Prices!A292)</f>
        <v/>
      </c>
      <c r="B292" s="14" t="str">
        <f aca="false">IF(A292="","",Prices!C292)</f>
        <v/>
      </c>
      <c r="C292" s="15" t="str">
        <f aca="false">IF(A292="","",IFERROR(INDEX(FX!$B:$B,MATCH(A292,FX!$A:$A,1)),""))</f>
        <v/>
      </c>
      <c r="D292" s="14" t="str">
        <f aca="false">IF(A292="","",SUMIFS(Transactions!$D:$D,Transactions!$A:$A,"&lt;="&amp;A292,Transactions!$B:$B,Settings!$B$1))</f>
        <v/>
      </c>
      <c r="E292" s="14" t="str">
        <f aca="false">IF(A292="","",SUMIFS(Transactions!$C:$C,Transactions!$A:$A,"&lt;="&amp;A292,Transactions!$B:$B,Settings!$B$1)+SUMIFS(Transactions!$F:$F,Transactions!$A:$A,"&lt;="&amp;A292,Transactions!$B:$B,Settings!$B$1))</f>
        <v/>
      </c>
      <c r="F292" s="14" t="str">
        <f aca="false">IF(A292="","",IF(C292="","",D292*B292*C292))</f>
        <v/>
      </c>
      <c r="G292" s="14" t="str">
        <f aca="false">IF(F292="","",F292-E292)</f>
        <v/>
      </c>
      <c r="H292" s="14" t="str">
        <f aca="false">IF(F292="","",IFERROR(F292-F291-(E292-E291),0))</f>
        <v/>
      </c>
    </row>
    <row r="293" customFormat="false" ht="15" hidden="false" customHeight="false" outlineLevel="0" collapsed="false">
      <c r="A293" s="13" t="str">
        <f aca="false">IF(Prices!A293="","",Prices!A293)</f>
        <v/>
      </c>
      <c r="B293" s="14" t="str">
        <f aca="false">IF(A293="","",Prices!C293)</f>
        <v/>
      </c>
      <c r="C293" s="15" t="str">
        <f aca="false">IF(A293="","",IFERROR(INDEX(FX!$B:$B,MATCH(A293,FX!$A:$A,1)),""))</f>
        <v/>
      </c>
      <c r="D293" s="14" t="str">
        <f aca="false">IF(A293="","",SUMIFS(Transactions!$D:$D,Transactions!$A:$A,"&lt;="&amp;A293,Transactions!$B:$B,Settings!$B$1))</f>
        <v/>
      </c>
      <c r="E293" s="14" t="str">
        <f aca="false">IF(A293="","",SUMIFS(Transactions!$C:$C,Transactions!$A:$A,"&lt;="&amp;A293,Transactions!$B:$B,Settings!$B$1)+SUMIFS(Transactions!$F:$F,Transactions!$A:$A,"&lt;="&amp;A293,Transactions!$B:$B,Settings!$B$1))</f>
        <v/>
      </c>
      <c r="F293" s="14" t="str">
        <f aca="false">IF(A293="","",IF(C293="","",D293*B293*C293))</f>
        <v/>
      </c>
      <c r="G293" s="14" t="str">
        <f aca="false">IF(F293="","",F293-E293)</f>
        <v/>
      </c>
      <c r="H293" s="14" t="str">
        <f aca="false">IF(F293="","",IFERROR(F293-F292-(E293-E292),0))</f>
        <v/>
      </c>
    </row>
    <row r="294" customFormat="false" ht="15" hidden="false" customHeight="false" outlineLevel="0" collapsed="false">
      <c r="A294" s="13" t="str">
        <f aca="false">IF(Prices!A294="","",Prices!A294)</f>
        <v/>
      </c>
      <c r="B294" s="14" t="str">
        <f aca="false">IF(A294="","",Prices!C294)</f>
        <v/>
      </c>
      <c r="C294" s="15" t="str">
        <f aca="false">IF(A294="","",IFERROR(INDEX(FX!$B:$B,MATCH(A294,FX!$A:$A,1)),""))</f>
        <v/>
      </c>
      <c r="D294" s="14" t="str">
        <f aca="false">IF(A294="","",SUMIFS(Transactions!$D:$D,Transactions!$A:$A,"&lt;="&amp;A294,Transactions!$B:$B,Settings!$B$1))</f>
        <v/>
      </c>
      <c r="E294" s="14" t="str">
        <f aca="false">IF(A294="","",SUMIFS(Transactions!$C:$C,Transactions!$A:$A,"&lt;="&amp;A294,Transactions!$B:$B,Settings!$B$1)+SUMIFS(Transactions!$F:$F,Transactions!$A:$A,"&lt;="&amp;A294,Transactions!$B:$B,Settings!$B$1))</f>
        <v/>
      </c>
      <c r="F294" s="14" t="str">
        <f aca="false">IF(A294="","",IF(C294="","",D294*B294*C294))</f>
        <v/>
      </c>
      <c r="G294" s="14" t="str">
        <f aca="false">IF(F294="","",F294-E294)</f>
        <v/>
      </c>
      <c r="H294" s="14" t="str">
        <f aca="false">IF(F294="","",IFERROR(F294-F293-(E294-E293),0))</f>
        <v/>
      </c>
    </row>
    <row r="295" customFormat="false" ht="15" hidden="false" customHeight="false" outlineLevel="0" collapsed="false">
      <c r="A295" s="13" t="str">
        <f aca="false">IF(Prices!A295="","",Prices!A295)</f>
        <v/>
      </c>
      <c r="B295" s="14" t="str">
        <f aca="false">IF(A295="","",Prices!C295)</f>
        <v/>
      </c>
      <c r="C295" s="15" t="str">
        <f aca="false">IF(A295="","",IFERROR(INDEX(FX!$B:$B,MATCH(A295,FX!$A:$A,1)),""))</f>
        <v/>
      </c>
      <c r="D295" s="14" t="str">
        <f aca="false">IF(A295="","",SUMIFS(Transactions!$D:$D,Transactions!$A:$A,"&lt;="&amp;A295,Transactions!$B:$B,Settings!$B$1))</f>
        <v/>
      </c>
      <c r="E295" s="14" t="str">
        <f aca="false">IF(A295="","",SUMIFS(Transactions!$C:$C,Transactions!$A:$A,"&lt;="&amp;A295,Transactions!$B:$B,Settings!$B$1)+SUMIFS(Transactions!$F:$F,Transactions!$A:$A,"&lt;="&amp;A295,Transactions!$B:$B,Settings!$B$1))</f>
        <v/>
      </c>
      <c r="F295" s="14" t="str">
        <f aca="false">IF(A295="","",IF(C295="","",D295*B295*C295))</f>
        <v/>
      </c>
      <c r="G295" s="14" t="str">
        <f aca="false">IF(F295="","",F295-E295)</f>
        <v/>
      </c>
      <c r="H295" s="14" t="str">
        <f aca="false">IF(F295="","",IFERROR(F295-F294-(E295-E294),0))</f>
        <v/>
      </c>
    </row>
    <row r="296" customFormat="false" ht="15" hidden="false" customHeight="false" outlineLevel="0" collapsed="false">
      <c r="A296" s="13" t="str">
        <f aca="false">IF(Prices!A296="","",Prices!A296)</f>
        <v/>
      </c>
      <c r="B296" s="14" t="str">
        <f aca="false">IF(A296="","",Prices!C296)</f>
        <v/>
      </c>
      <c r="C296" s="15" t="str">
        <f aca="false">IF(A296="","",IFERROR(INDEX(FX!$B:$B,MATCH(A296,FX!$A:$A,1)),""))</f>
        <v/>
      </c>
      <c r="D296" s="14" t="str">
        <f aca="false">IF(A296="","",SUMIFS(Transactions!$D:$D,Transactions!$A:$A,"&lt;="&amp;A296,Transactions!$B:$B,Settings!$B$1))</f>
        <v/>
      </c>
      <c r="E296" s="14" t="str">
        <f aca="false">IF(A296="","",SUMIFS(Transactions!$C:$C,Transactions!$A:$A,"&lt;="&amp;A296,Transactions!$B:$B,Settings!$B$1)+SUMIFS(Transactions!$F:$F,Transactions!$A:$A,"&lt;="&amp;A296,Transactions!$B:$B,Settings!$B$1))</f>
        <v/>
      </c>
      <c r="F296" s="14" t="str">
        <f aca="false">IF(A296="","",IF(C296="","",D296*B296*C296))</f>
        <v/>
      </c>
      <c r="G296" s="14" t="str">
        <f aca="false">IF(F296="","",F296-E296)</f>
        <v/>
      </c>
      <c r="H296" s="14" t="str">
        <f aca="false">IF(F296="","",IFERROR(F296-F295-(E296-E295),0))</f>
        <v/>
      </c>
    </row>
    <row r="297" customFormat="false" ht="15" hidden="false" customHeight="false" outlineLevel="0" collapsed="false">
      <c r="A297" s="13" t="str">
        <f aca="false">IF(Prices!A297="","",Prices!A297)</f>
        <v/>
      </c>
      <c r="B297" s="14" t="str">
        <f aca="false">IF(A297="","",Prices!C297)</f>
        <v/>
      </c>
      <c r="C297" s="15" t="str">
        <f aca="false">IF(A297="","",IFERROR(INDEX(FX!$B:$B,MATCH(A297,FX!$A:$A,1)),""))</f>
        <v/>
      </c>
      <c r="D297" s="14" t="str">
        <f aca="false">IF(A297="","",SUMIFS(Transactions!$D:$D,Transactions!$A:$A,"&lt;="&amp;A297,Transactions!$B:$B,Settings!$B$1))</f>
        <v/>
      </c>
      <c r="E297" s="14" t="str">
        <f aca="false">IF(A297="","",SUMIFS(Transactions!$C:$C,Transactions!$A:$A,"&lt;="&amp;A297,Transactions!$B:$B,Settings!$B$1)+SUMIFS(Transactions!$F:$F,Transactions!$A:$A,"&lt;="&amp;A297,Transactions!$B:$B,Settings!$B$1))</f>
        <v/>
      </c>
      <c r="F297" s="14" t="str">
        <f aca="false">IF(A297="","",IF(C297="","",D297*B297*C297))</f>
        <v/>
      </c>
      <c r="G297" s="14" t="str">
        <f aca="false">IF(F297="","",F297-E297)</f>
        <v/>
      </c>
      <c r="H297" s="14" t="str">
        <f aca="false">IF(F297="","",IFERROR(F297-F296-(E297-E296),0))</f>
        <v/>
      </c>
    </row>
    <row r="298" customFormat="false" ht="15" hidden="false" customHeight="false" outlineLevel="0" collapsed="false">
      <c r="A298" s="13" t="str">
        <f aca="false">IF(Prices!A298="","",Prices!A298)</f>
        <v/>
      </c>
      <c r="B298" s="14" t="str">
        <f aca="false">IF(A298="","",Prices!C298)</f>
        <v/>
      </c>
      <c r="C298" s="15" t="str">
        <f aca="false">IF(A298="","",IFERROR(INDEX(FX!$B:$B,MATCH(A298,FX!$A:$A,1)),""))</f>
        <v/>
      </c>
      <c r="D298" s="14" t="str">
        <f aca="false">IF(A298="","",SUMIFS(Transactions!$D:$D,Transactions!$A:$A,"&lt;="&amp;A298,Transactions!$B:$B,Settings!$B$1))</f>
        <v/>
      </c>
      <c r="E298" s="14" t="str">
        <f aca="false">IF(A298="","",SUMIFS(Transactions!$C:$C,Transactions!$A:$A,"&lt;="&amp;A298,Transactions!$B:$B,Settings!$B$1)+SUMIFS(Transactions!$F:$F,Transactions!$A:$A,"&lt;="&amp;A298,Transactions!$B:$B,Settings!$B$1))</f>
        <v/>
      </c>
      <c r="F298" s="14" t="str">
        <f aca="false">IF(A298="","",IF(C298="","",D298*B298*C298))</f>
        <v/>
      </c>
      <c r="G298" s="14" t="str">
        <f aca="false">IF(F298="","",F298-E298)</f>
        <v/>
      </c>
      <c r="H298" s="14" t="str">
        <f aca="false">IF(F298="","",IFERROR(F298-F297-(E298-E297),0))</f>
        <v/>
      </c>
    </row>
    <row r="299" customFormat="false" ht="15" hidden="false" customHeight="false" outlineLevel="0" collapsed="false">
      <c r="A299" s="13" t="str">
        <f aca="false">IF(Prices!A299="","",Prices!A299)</f>
        <v/>
      </c>
      <c r="B299" s="14" t="str">
        <f aca="false">IF(A299="","",Prices!C299)</f>
        <v/>
      </c>
      <c r="C299" s="15" t="str">
        <f aca="false">IF(A299="","",IFERROR(INDEX(FX!$B:$B,MATCH(A299,FX!$A:$A,1)),""))</f>
        <v/>
      </c>
      <c r="D299" s="14" t="str">
        <f aca="false">IF(A299="","",SUMIFS(Transactions!$D:$D,Transactions!$A:$A,"&lt;="&amp;A299,Transactions!$B:$B,Settings!$B$1))</f>
        <v/>
      </c>
      <c r="E299" s="14" t="str">
        <f aca="false">IF(A299="","",SUMIFS(Transactions!$C:$C,Transactions!$A:$A,"&lt;="&amp;A299,Transactions!$B:$B,Settings!$B$1)+SUMIFS(Transactions!$F:$F,Transactions!$A:$A,"&lt;="&amp;A299,Transactions!$B:$B,Settings!$B$1))</f>
        <v/>
      </c>
      <c r="F299" s="14" t="str">
        <f aca="false">IF(A299="","",IF(C299="","",D299*B299*C299))</f>
        <v/>
      </c>
      <c r="G299" s="14" t="str">
        <f aca="false">IF(F299="","",F299-E299)</f>
        <v/>
      </c>
      <c r="H299" s="14" t="str">
        <f aca="false">IF(F299="","",IFERROR(F299-F298-(E299-E298),0))</f>
        <v/>
      </c>
    </row>
    <row r="300" customFormat="false" ht="15" hidden="false" customHeight="false" outlineLevel="0" collapsed="false">
      <c r="A300" s="13" t="str">
        <f aca="false">IF(Prices!A300="","",Prices!A300)</f>
        <v/>
      </c>
      <c r="B300" s="14" t="str">
        <f aca="false">IF(A300="","",Prices!C300)</f>
        <v/>
      </c>
      <c r="C300" s="15" t="str">
        <f aca="false">IF(A300="","",IFERROR(INDEX(FX!$B:$B,MATCH(A300,FX!$A:$A,1)),""))</f>
        <v/>
      </c>
      <c r="D300" s="14" t="str">
        <f aca="false">IF(A300="","",SUMIFS(Transactions!$D:$D,Transactions!$A:$A,"&lt;="&amp;A300,Transactions!$B:$B,Settings!$B$1))</f>
        <v/>
      </c>
      <c r="E300" s="14" t="str">
        <f aca="false">IF(A300="","",SUMIFS(Transactions!$C:$C,Transactions!$A:$A,"&lt;="&amp;A300,Transactions!$B:$B,Settings!$B$1)+SUMIFS(Transactions!$F:$F,Transactions!$A:$A,"&lt;="&amp;A300,Transactions!$B:$B,Settings!$B$1))</f>
        <v/>
      </c>
      <c r="F300" s="14" t="str">
        <f aca="false">IF(A300="","",IF(C300="","",D300*B300*C300))</f>
        <v/>
      </c>
      <c r="G300" s="14" t="str">
        <f aca="false">IF(F300="","",F300-E300)</f>
        <v/>
      </c>
      <c r="H300" s="14" t="str">
        <f aca="false">IF(F300="","",IFERROR(F300-F299-(E300-E299),0))</f>
        <v/>
      </c>
    </row>
    <row r="301" customFormat="false" ht="15" hidden="false" customHeight="false" outlineLevel="0" collapsed="false">
      <c r="A301" s="13" t="str">
        <f aca="false">IF(Prices!A301="","",Prices!A301)</f>
        <v/>
      </c>
      <c r="B301" s="14" t="str">
        <f aca="false">IF(A301="","",Prices!C301)</f>
        <v/>
      </c>
      <c r="C301" s="15" t="str">
        <f aca="false">IF(A301="","",IFERROR(INDEX(FX!$B:$B,MATCH(A301,FX!$A:$A,1)),""))</f>
        <v/>
      </c>
      <c r="D301" s="14" t="str">
        <f aca="false">IF(A301="","",SUMIFS(Transactions!$D:$D,Transactions!$A:$A,"&lt;="&amp;A301,Transactions!$B:$B,Settings!$B$1))</f>
        <v/>
      </c>
      <c r="E301" s="14" t="str">
        <f aca="false">IF(A301="","",SUMIFS(Transactions!$C:$C,Transactions!$A:$A,"&lt;="&amp;A301,Transactions!$B:$B,Settings!$B$1)+SUMIFS(Transactions!$F:$F,Transactions!$A:$A,"&lt;="&amp;A301,Transactions!$B:$B,Settings!$B$1))</f>
        <v/>
      </c>
      <c r="F301" s="14" t="str">
        <f aca="false">IF(A301="","",IF(C301="","",D301*B301*C301))</f>
        <v/>
      </c>
      <c r="G301" s="14" t="str">
        <f aca="false">IF(F301="","",F301-E301)</f>
        <v/>
      </c>
      <c r="H301" s="14" t="str">
        <f aca="false">IF(F301="","",IFERROR(F301-F300-(E301-E300),0))</f>
        <v/>
      </c>
    </row>
    <row r="302" customFormat="false" ht="15" hidden="false" customHeight="false" outlineLevel="0" collapsed="false">
      <c r="A302" s="13" t="str">
        <f aca="false">IF(Prices!A302="","",Prices!A302)</f>
        <v/>
      </c>
      <c r="B302" s="14" t="str">
        <f aca="false">IF(A302="","",Prices!C302)</f>
        <v/>
      </c>
      <c r="C302" s="15" t="str">
        <f aca="false">IF(A302="","",IFERROR(INDEX(FX!$B:$B,MATCH(A302,FX!$A:$A,1)),""))</f>
        <v/>
      </c>
      <c r="D302" s="14" t="str">
        <f aca="false">IF(A302="","",SUMIFS(Transactions!$D:$D,Transactions!$A:$A,"&lt;="&amp;A302,Transactions!$B:$B,Settings!$B$1))</f>
        <v/>
      </c>
      <c r="E302" s="14" t="str">
        <f aca="false">IF(A302="","",SUMIFS(Transactions!$C:$C,Transactions!$A:$A,"&lt;="&amp;A302,Transactions!$B:$B,Settings!$B$1)+SUMIFS(Transactions!$F:$F,Transactions!$A:$A,"&lt;="&amp;A302,Transactions!$B:$B,Settings!$B$1))</f>
        <v/>
      </c>
      <c r="F302" s="14" t="str">
        <f aca="false">IF(A302="","",IF(C302="","",D302*B302*C302))</f>
        <v/>
      </c>
      <c r="G302" s="14" t="str">
        <f aca="false">IF(F302="","",F302-E302)</f>
        <v/>
      </c>
      <c r="H302" s="14" t="str">
        <f aca="false">IF(F302="","",IFERROR(F302-F301-(E302-E301),0))</f>
        <v/>
      </c>
    </row>
    <row r="303" customFormat="false" ht="15" hidden="false" customHeight="false" outlineLevel="0" collapsed="false">
      <c r="A303" s="13" t="str">
        <f aca="false">IF(Prices!A303="","",Prices!A303)</f>
        <v/>
      </c>
      <c r="B303" s="14" t="str">
        <f aca="false">IF(A303="","",Prices!C303)</f>
        <v/>
      </c>
      <c r="C303" s="15" t="str">
        <f aca="false">IF(A303="","",IFERROR(INDEX(FX!$B:$B,MATCH(A303,FX!$A:$A,1)),""))</f>
        <v/>
      </c>
      <c r="D303" s="14" t="str">
        <f aca="false">IF(A303="","",SUMIFS(Transactions!$D:$D,Transactions!$A:$A,"&lt;="&amp;A303,Transactions!$B:$B,Settings!$B$1))</f>
        <v/>
      </c>
      <c r="E303" s="14" t="str">
        <f aca="false">IF(A303="","",SUMIFS(Transactions!$C:$C,Transactions!$A:$A,"&lt;="&amp;A303,Transactions!$B:$B,Settings!$B$1)+SUMIFS(Transactions!$F:$F,Transactions!$A:$A,"&lt;="&amp;A303,Transactions!$B:$B,Settings!$B$1))</f>
        <v/>
      </c>
      <c r="F303" s="14" t="str">
        <f aca="false">IF(A303="","",IF(C303="","",D303*B303*C303))</f>
        <v/>
      </c>
      <c r="G303" s="14" t="str">
        <f aca="false">IF(F303="","",F303-E303)</f>
        <v/>
      </c>
      <c r="H303" s="14" t="str">
        <f aca="false">IF(F303="","",IFERROR(F303-F302-(E303-E302),0))</f>
        <v/>
      </c>
    </row>
    <row r="304" customFormat="false" ht="15" hidden="false" customHeight="false" outlineLevel="0" collapsed="false">
      <c r="A304" s="13" t="str">
        <f aca="false">IF(Prices!A304="","",Prices!A304)</f>
        <v/>
      </c>
      <c r="B304" s="14" t="str">
        <f aca="false">IF(A304="","",Prices!C304)</f>
        <v/>
      </c>
      <c r="C304" s="15" t="str">
        <f aca="false">IF(A304="","",IFERROR(INDEX(FX!$B:$B,MATCH(A304,FX!$A:$A,1)),""))</f>
        <v/>
      </c>
      <c r="D304" s="14" t="str">
        <f aca="false">IF(A304="","",SUMIFS(Transactions!$D:$D,Transactions!$A:$A,"&lt;="&amp;A304,Transactions!$B:$B,Settings!$B$1))</f>
        <v/>
      </c>
      <c r="E304" s="14" t="str">
        <f aca="false">IF(A304="","",SUMIFS(Transactions!$C:$C,Transactions!$A:$A,"&lt;="&amp;A304,Transactions!$B:$B,Settings!$B$1)+SUMIFS(Transactions!$F:$F,Transactions!$A:$A,"&lt;="&amp;A304,Transactions!$B:$B,Settings!$B$1))</f>
        <v/>
      </c>
      <c r="F304" s="14" t="str">
        <f aca="false">IF(A304="","",IF(C304="","",D304*B304*C304))</f>
        <v/>
      </c>
      <c r="G304" s="14" t="str">
        <f aca="false">IF(F304="","",F304-E304)</f>
        <v/>
      </c>
      <c r="H304" s="14" t="str">
        <f aca="false">IF(F304="","",IFERROR(F304-F303-(E304-E303),0))</f>
        <v/>
      </c>
    </row>
    <row r="305" customFormat="false" ht="15" hidden="false" customHeight="false" outlineLevel="0" collapsed="false">
      <c r="A305" s="13" t="str">
        <f aca="false">IF(Prices!A305="","",Prices!A305)</f>
        <v/>
      </c>
      <c r="B305" s="14" t="str">
        <f aca="false">IF(A305="","",Prices!C305)</f>
        <v/>
      </c>
      <c r="C305" s="15" t="str">
        <f aca="false">IF(A305="","",IFERROR(INDEX(FX!$B:$B,MATCH(A305,FX!$A:$A,1)),""))</f>
        <v/>
      </c>
      <c r="D305" s="14" t="str">
        <f aca="false">IF(A305="","",SUMIFS(Transactions!$D:$D,Transactions!$A:$A,"&lt;="&amp;A305,Transactions!$B:$B,Settings!$B$1))</f>
        <v/>
      </c>
      <c r="E305" s="14" t="str">
        <f aca="false">IF(A305="","",SUMIFS(Transactions!$C:$C,Transactions!$A:$A,"&lt;="&amp;A305,Transactions!$B:$B,Settings!$B$1)+SUMIFS(Transactions!$F:$F,Transactions!$A:$A,"&lt;="&amp;A305,Transactions!$B:$B,Settings!$B$1))</f>
        <v/>
      </c>
      <c r="F305" s="14" t="str">
        <f aca="false">IF(A305="","",IF(C305="","",D305*B305*C305))</f>
        <v/>
      </c>
      <c r="G305" s="14" t="str">
        <f aca="false">IF(F305="","",F305-E305)</f>
        <v/>
      </c>
      <c r="H305" s="14" t="str">
        <f aca="false">IF(F305="","",IFERROR(F305-F304-(E305-E304),0))</f>
        <v/>
      </c>
    </row>
    <row r="306" customFormat="false" ht="15" hidden="false" customHeight="false" outlineLevel="0" collapsed="false">
      <c r="A306" s="13" t="str">
        <f aca="false">IF(Prices!A306="","",Prices!A306)</f>
        <v/>
      </c>
      <c r="B306" s="14" t="str">
        <f aca="false">IF(A306="","",Prices!C306)</f>
        <v/>
      </c>
      <c r="C306" s="15" t="str">
        <f aca="false">IF(A306="","",IFERROR(INDEX(FX!$B:$B,MATCH(A306,FX!$A:$A,1)),""))</f>
        <v/>
      </c>
      <c r="D306" s="14" t="str">
        <f aca="false">IF(A306="","",SUMIFS(Transactions!$D:$D,Transactions!$A:$A,"&lt;="&amp;A306,Transactions!$B:$B,Settings!$B$1))</f>
        <v/>
      </c>
      <c r="E306" s="14" t="str">
        <f aca="false">IF(A306="","",SUMIFS(Transactions!$C:$C,Transactions!$A:$A,"&lt;="&amp;A306,Transactions!$B:$B,Settings!$B$1)+SUMIFS(Transactions!$F:$F,Transactions!$A:$A,"&lt;="&amp;A306,Transactions!$B:$B,Settings!$B$1))</f>
        <v/>
      </c>
      <c r="F306" s="14" t="str">
        <f aca="false">IF(A306="","",IF(C306="","",D306*B306*C306))</f>
        <v/>
      </c>
      <c r="G306" s="14" t="str">
        <f aca="false">IF(F306="","",F306-E306)</f>
        <v/>
      </c>
      <c r="H306" s="14" t="str">
        <f aca="false">IF(F306="","",IFERROR(F306-F305-(E306-E305),0))</f>
        <v/>
      </c>
    </row>
    <row r="307" customFormat="false" ht="15" hidden="false" customHeight="false" outlineLevel="0" collapsed="false">
      <c r="A307" s="13" t="str">
        <f aca="false">IF(Prices!A307="","",Prices!A307)</f>
        <v/>
      </c>
      <c r="B307" s="14" t="str">
        <f aca="false">IF(A307="","",Prices!C307)</f>
        <v/>
      </c>
      <c r="C307" s="15" t="str">
        <f aca="false">IF(A307="","",IFERROR(INDEX(FX!$B:$B,MATCH(A307,FX!$A:$A,1)),""))</f>
        <v/>
      </c>
      <c r="D307" s="14" t="str">
        <f aca="false">IF(A307="","",SUMIFS(Transactions!$D:$D,Transactions!$A:$A,"&lt;="&amp;A307,Transactions!$B:$B,Settings!$B$1))</f>
        <v/>
      </c>
      <c r="E307" s="14" t="str">
        <f aca="false">IF(A307="","",SUMIFS(Transactions!$C:$C,Transactions!$A:$A,"&lt;="&amp;A307,Transactions!$B:$B,Settings!$B$1)+SUMIFS(Transactions!$F:$F,Transactions!$A:$A,"&lt;="&amp;A307,Transactions!$B:$B,Settings!$B$1))</f>
        <v/>
      </c>
      <c r="F307" s="14" t="str">
        <f aca="false">IF(A307="","",IF(C307="","",D307*B307*C307))</f>
        <v/>
      </c>
      <c r="G307" s="14" t="str">
        <f aca="false">IF(F307="","",F307-E307)</f>
        <v/>
      </c>
      <c r="H307" s="14" t="str">
        <f aca="false">IF(F307="","",IFERROR(F307-F306-(E307-E306),0))</f>
        <v/>
      </c>
    </row>
    <row r="308" customFormat="false" ht="15" hidden="false" customHeight="false" outlineLevel="0" collapsed="false">
      <c r="A308" s="13" t="str">
        <f aca="false">IF(Prices!A308="","",Prices!A308)</f>
        <v/>
      </c>
      <c r="B308" s="14" t="str">
        <f aca="false">IF(A308="","",Prices!C308)</f>
        <v/>
      </c>
      <c r="C308" s="15" t="str">
        <f aca="false">IF(A308="","",IFERROR(INDEX(FX!$B:$B,MATCH(A308,FX!$A:$A,1)),""))</f>
        <v/>
      </c>
      <c r="D308" s="14" t="str">
        <f aca="false">IF(A308="","",SUMIFS(Transactions!$D:$D,Transactions!$A:$A,"&lt;="&amp;A308,Transactions!$B:$B,Settings!$B$1))</f>
        <v/>
      </c>
      <c r="E308" s="14" t="str">
        <f aca="false">IF(A308="","",SUMIFS(Transactions!$C:$C,Transactions!$A:$A,"&lt;="&amp;A308,Transactions!$B:$B,Settings!$B$1)+SUMIFS(Transactions!$F:$F,Transactions!$A:$A,"&lt;="&amp;A308,Transactions!$B:$B,Settings!$B$1))</f>
        <v/>
      </c>
      <c r="F308" s="14" t="str">
        <f aca="false">IF(A308="","",IF(C308="","",D308*B308*C308))</f>
        <v/>
      </c>
      <c r="G308" s="14" t="str">
        <f aca="false">IF(F308="","",F308-E308)</f>
        <v/>
      </c>
      <c r="H308" s="14" t="str">
        <f aca="false">IF(F308="","",IFERROR(F308-F307-(E308-E307),0))</f>
        <v/>
      </c>
    </row>
    <row r="309" customFormat="false" ht="15" hidden="false" customHeight="false" outlineLevel="0" collapsed="false">
      <c r="A309" s="13" t="str">
        <f aca="false">IF(Prices!A309="","",Prices!A309)</f>
        <v/>
      </c>
      <c r="B309" s="14" t="str">
        <f aca="false">IF(A309="","",Prices!C309)</f>
        <v/>
      </c>
      <c r="C309" s="15" t="str">
        <f aca="false">IF(A309="","",IFERROR(INDEX(FX!$B:$B,MATCH(A309,FX!$A:$A,1)),""))</f>
        <v/>
      </c>
      <c r="D309" s="14" t="str">
        <f aca="false">IF(A309="","",SUMIFS(Transactions!$D:$D,Transactions!$A:$A,"&lt;="&amp;A309,Transactions!$B:$B,Settings!$B$1))</f>
        <v/>
      </c>
      <c r="E309" s="14" t="str">
        <f aca="false">IF(A309="","",SUMIFS(Transactions!$C:$C,Transactions!$A:$A,"&lt;="&amp;A309,Transactions!$B:$B,Settings!$B$1)+SUMIFS(Transactions!$F:$F,Transactions!$A:$A,"&lt;="&amp;A309,Transactions!$B:$B,Settings!$B$1))</f>
        <v/>
      </c>
      <c r="F309" s="14" t="str">
        <f aca="false">IF(A309="","",IF(C309="","",D309*B309*C309))</f>
        <v/>
      </c>
      <c r="G309" s="14" t="str">
        <f aca="false">IF(F309="","",F309-E309)</f>
        <v/>
      </c>
      <c r="H309" s="14" t="str">
        <f aca="false">IF(F309="","",IFERROR(F309-F308-(E309-E308),0))</f>
        <v/>
      </c>
    </row>
    <row r="310" customFormat="false" ht="15" hidden="false" customHeight="false" outlineLevel="0" collapsed="false">
      <c r="A310" s="13" t="str">
        <f aca="false">IF(Prices!A310="","",Prices!A310)</f>
        <v/>
      </c>
      <c r="B310" s="14" t="str">
        <f aca="false">IF(A310="","",Prices!C310)</f>
        <v/>
      </c>
      <c r="C310" s="15" t="str">
        <f aca="false">IF(A310="","",IFERROR(INDEX(FX!$B:$B,MATCH(A310,FX!$A:$A,1)),""))</f>
        <v/>
      </c>
      <c r="D310" s="14" t="str">
        <f aca="false">IF(A310="","",SUMIFS(Transactions!$D:$D,Transactions!$A:$A,"&lt;="&amp;A310,Transactions!$B:$B,Settings!$B$1))</f>
        <v/>
      </c>
      <c r="E310" s="14" t="str">
        <f aca="false">IF(A310="","",SUMIFS(Transactions!$C:$C,Transactions!$A:$A,"&lt;="&amp;A310,Transactions!$B:$B,Settings!$B$1)+SUMIFS(Transactions!$F:$F,Transactions!$A:$A,"&lt;="&amp;A310,Transactions!$B:$B,Settings!$B$1))</f>
        <v/>
      </c>
      <c r="F310" s="14" t="str">
        <f aca="false">IF(A310="","",IF(C310="","",D310*B310*C310))</f>
        <v/>
      </c>
      <c r="G310" s="14" t="str">
        <f aca="false">IF(F310="","",F310-E310)</f>
        <v/>
      </c>
      <c r="H310" s="14" t="str">
        <f aca="false">IF(F310="","",IFERROR(F310-F309-(E310-E309),0))</f>
        <v/>
      </c>
    </row>
    <row r="311" customFormat="false" ht="15" hidden="false" customHeight="false" outlineLevel="0" collapsed="false">
      <c r="A311" s="13" t="str">
        <f aca="false">IF(Prices!A311="","",Prices!A311)</f>
        <v/>
      </c>
      <c r="B311" s="14" t="str">
        <f aca="false">IF(A311="","",Prices!C311)</f>
        <v/>
      </c>
      <c r="C311" s="15" t="str">
        <f aca="false">IF(A311="","",IFERROR(INDEX(FX!$B:$B,MATCH(A311,FX!$A:$A,1)),""))</f>
        <v/>
      </c>
      <c r="D311" s="14" t="str">
        <f aca="false">IF(A311="","",SUMIFS(Transactions!$D:$D,Transactions!$A:$A,"&lt;="&amp;A311,Transactions!$B:$B,Settings!$B$1))</f>
        <v/>
      </c>
      <c r="E311" s="14" t="str">
        <f aca="false">IF(A311="","",SUMIFS(Transactions!$C:$C,Transactions!$A:$A,"&lt;="&amp;A311,Transactions!$B:$B,Settings!$B$1)+SUMIFS(Transactions!$F:$F,Transactions!$A:$A,"&lt;="&amp;A311,Transactions!$B:$B,Settings!$B$1))</f>
        <v/>
      </c>
      <c r="F311" s="14" t="str">
        <f aca="false">IF(A311="","",IF(C311="","",D311*B311*C311))</f>
        <v/>
      </c>
      <c r="G311" s="14" t="str">
        <f aca="false">IF(F311="","",F311-E311)</f>
        <v/>
      </c>
      <c r="H311" s="14" t="str">
        <f aca="false">IF(F311="","",IFERROR(F311-F310-(E311-E310),0))</f>
        <v/>
      </c>
    </row>
    <row r="312" customFormat="false" ht="15" hidden="false" customHeight="false" outlineLevel="0" collapsed="false">
      <c r="A312" s="13" t="str">
        <f aca="false">IF(Prices!A312="","",Prices!A312)</f>
        <v/>
      </c>
      <c r="B312" s="14" t="str">
        <f aca="false">IF(A312="","",Prices!C312)</f>
        <v/>
      </c>
      <c r="C312" s="15" t="str">
        <f aca="false">IF(A312="","",IFERROR(INDEX(FX!$B:$B,MATCH(A312,FX!$A:$A,1)),""))</f>
        <v/>
      </c>
      <c r="D312" s="14" t="str">
        <f aca="false">IF(A312="","",SUMIFS(Transactions!$D:$D,Transactions!$A:$A,"&lt;="&amp;A312,Transactions!$B:$B,Settings!$B$1))</f>
        <v/>
      </c>
      <c r="E312" s="14" t="str">
        <f aca="false">IF(A312="","",SUMIFS(Transactions!$C:$C,Transactions!$A:$A,"&lt;="&amp;A312,Transactions!$B:$B,Settings!$B$1)+SUMIFS(Transactions!$F:$F,Transactions!$A:$A,"&lt;="&amp;A312,Transactions!$B:$B,Settings!$B$1))</f>
        <v/>
      </c>
      <c r="F312" s="14" t="str">
        <f aca="false">IF(A312="","",IF(C312="","",D312*B312*C312))</f>
        <v/>
      </c>
      <c r="G312" s="14" t="str">
        <f aca="false">IF(F312="","",F312-E312)</f>
        <v/>
      </c>
      <c r="H312" s="14" t="str">
        <f aca="false">IF(F312="","",IFERROR(F312-F311-(E312-E311),0))</f>
        <v/>
      </c>
    </row>
    <row r="313" customFormat="false" ht="15" hidden="false" customHeight="false" outlineLevel="0" collapsed="false">
      <c r="A313" s="13" t="str">
        <f aca="false">IF(Prices!A313="","",Prices!A313)</f>
        <v/>
      </c>
      <c r="B313" s="14" t="str">
        <f aca="false">IF(A313="","",Prices!C313)</f>
        <v/>
      </c>
      <c r="C313" s="15" t="str">
        <f aca="false">IF(A313="","",IFERROR(INDEX(FX!$B:$B,MATCH(A313,FX!$A:$A,1)),""))</f>
        <v/>
      </c>
      <c r="D313" s="14" t="str">
        <f aca="false">IF(A313="","",SUMIFS(Transactions!$D:$D,Transactions!$A:$A,"&lt;="&amp;A313,Transactions!$B:$B,Settings!$B$1))</f>
        <v/>
      </c>
      <c r="E313" s="14" t="str">
        <f aca="false">IF(A313="","",SUMIFS(Transactions!$C:$C,Transactions!$A:$A,"&lt;="&amp;A313,Transactions!$B:$B,Settings!$B$1)+SUMIFS(Transactions!$F:$F,Transactions!$A:$A,"&lt;="&amp;A313,Transactions!$B:$B,Settings!$B$1))</f>
        <v/>
      </c>
      <c r="F313" s="14" t="str">
        <f aca="false">IF(A313="","",IF(C313="","",D313*B313*C313))</f>
        <v/>
      </c>
      <c r="G313" s="14" t="str">
        <f aca="false">IF(F313="","",F313-E313)</f>
        <v/>
      </c>
      <c r="H313" s="14" t="str">
        <f aca="false">IF(F313="","",IFERROR(F313-F312-(E313-E312),0))</f>
        <v/>
      </c>
    </row>
    <row r="314" customFormat="false" ht="15" hidden="false" customHeight="false" outlineLevel="0" collapsed="false">
      <c r="A314" s="13" t="str">
        <f aca="false">IF(Prices!A314="","",Prices!A314)</f>
        <v/>
      </c>
      <c r="B314" s="14" t="str">
        <f aca="false">IF(A314="","",Prices!C314)</f>
        <v/>
      </c>
      <c r="C314" s="15" t="str">
        <f aca="false">IF(A314="","",IFERROR(INDEX(FX!$B:$B,MATCH(A314,FX!$A:$A,1)),""))</f>
        <v/>
      </c>
      <c r="D314" s="14" t="str">
        <f aca="false">IF(A314="","",SUMIFS(Transactions!$D:$D,Transactions!$A:$A,"&lt;="&amp;A314,Transactions!$B:$B,Settings!$B$1))</f>
        <v/>
      </c>
      <c r="E314" s="14" t="str">
        <f aca="false">IF(A314="","",SUMIFS(Transactions!$C:$C,Transactions!$A:$A,"&lt;="&amp;A314,Transactions!$B:$B,Settings!$B$1)+SUMIFS(Transactions!$F:$F,Transactions!$A:$A,"&lt;="&amp;A314,Transactions!$B:$B,Settings!$B$1))</f>
        <v/>
      </c>
      <c r="F314" s="14" t="str">
        <f aca="false">IF(A314="","",IF(C314="","",D314*B314*C314))</f>
        <v/>
      </c>
      <c r="G314" s="14" t="str">
        <f aca="false">IF(F314="","",F314-E314)</f>
        <v/>
      </c>
      <c r="H314" s="14" t="str">
        <f aca="false">IF(F314="","",IFERROR(F314-F313-(E314-E313),0))</f>
        <v/>
      </c>
    </row>
    <row r="315" customFormat="false" ht="15" hidden="false" customHeight="false" outlineLevel="0" collapsed="false">
      <c r="A315" s="13" t="str">
        <f aca="false">IF(Prices!A315="","",Prices!A315)</f>
        <v/>
      </c>
      <c r="B315" s="14" t="str">
        <f aca="false">IF(A315="","",Prices!C315)</f>
        <v/>
      </c>
      <c r="C315" s="15" t="str">
        <f aca="false">IF(A315="","",IFERROR(INDEX(FX!$B:$B,MATCH(A315,FX!$A:$A,1)),""))</f>
        <v/>
      </c>
      <c r="D315" s="14" t="str">
        <f aca="false">IF(A315="","",SUMIFS(Transactions!$D:$D,Transactions!$A:$A,"&lt;="&amp;A315,Transactions!$B:$B,Settings!$B$1))</f>
        <v/>
      </c>
      <c r="E315" s="14" t="str">
        <f aca="false">IF(A315="","",SUMIFS(Transactions!$C:$C,Transactions!$A:$A,"&lt;="&amp;A315,Transactions!$B:$B,Settings!$B$1)+SUMIFS(Transactions!$F:$F,Transactions!$A:$A,"&lt;="&amp;A315,Transactions!$B:$B,Settings!$B$1))</f>
        <v/>
      </c>
      <c r="F315" s="14" t="str">
        <f aca="false">IF(A315="","",IF(C315="","",D315*B315*C315))</f>
        <v/>
      </c>
      <c r="G315" s="14" t="str">
        <f aca="false">IF(F315="","",F315-E315)</f>
        <v/>
      </c>
      <c r="H315" s="14" t="str">
        <f aca="false">IF(F315="","",IFERROR(F315-F314-(E315-E314),0))</f>
        <v/>
      </c>
    </row>
    <row r="316" customFormat="false" ht="15" hidden="false" customHeight="false" outlineLevel="0" collapsed="false">
      <c r="A316" s="13" t="str">
        <f aca="false">IF(Prices!A316="","",Prices!A316)</f>
        <v/>
      </c>
      <c r="B316" s="14" t="str">
        <f aca="false">IF(A316="","",Prices!C316)</f>
        <v/>
      </c>
      <c r="C316" s="15" t="str">
        <f aca="false">IF(A316="","",IFERROR(INDEX(FX!$B:$B,MATCH(A316,FX!$A:$A,1)),""))</f>
        <v/>
      </c>
      <c r="D316" s="14" t="str">
        <f aca="false">IF(A316="","",SUMIFS(Transactions!$D:$D,Transactions!$A:$A,"&lt;="&amp;A316,Transactions!$B:$B,Settings!$B$1))</f>
        <v/>
      </c>
      <c r="E316" s="14" t="str">
        <f aca="false">IF(A316="","",SUMIFS(Transactions!$C:$C,Transactions!$A:$A,"&lt;="&amp;A316,Transactions!$B:$B,Settings!$B$1)+SUMIFS(Transactions!$F:$F,Transactions!$A:$A,"&lt;="&amp;A316,Transactions!$B:$B,Settings!$B$1))</f>
        <v/>
      </c>
      <c r="F316" s="14" t="str">
        <f aca="false">IF(A316="","",IF(C316="","",D316*B316*C316))</f>
        <v/>
      </c>
      <c r="G316" s="14" t="str">
        <f aca="false">IF(F316="","",F316-E316)</f>
        <v/>
      </c>
      <c r="H316" s="14" t="str">
        <f aca="false">IF(F316="","",IFERROR(F316-F315-(E316-E315),0))</f>
        <v/>
      </c>
    </row>
    <row r="317" customFormat="false" ht="15" hidden="false" customHeight="false" outlineLevel="0" collapsed="false">
      <c r="A317" s="13" t="str">
        <f aca="false">IF(Prices!A317="","",Prices!A317)</f>
        <v/>
      </c>
      <c r="B317" s="14" t="str">
        <f aca="false">IF(A317="","",Prices!C317)</f>
        <v/>
      </c>
      <c r="C317" s="15" t="str">
        <f aca="false">IF(A317="","",IFERROR(INDEX(FX!$B:$B,MATCH(A317,FX!$A:$A,1)),""))</f>
        <v/>
      </c>
      <c r="D317" s="14" t="str">
        <f aca="false">IF(A317="","",SUMIFS(Transactions!$D:$D,Transactions!$A:$A,"&lt;="&amp;A317,Transactions!$B:$B,Settings!$B$1))</f>
        <v/>
      </c>
      <c r="E317" s="14" t="str">
        <f aca="false">IF(A317="","",SUMIFS(Transactions!$C:$C,Transactions!$A:$A,"&lt;="&amp;A317,Transactions!$B:$B,Settings!$B$1)+SUMIFS(Transactions!$F:$F,Transactions!$A:$A,"&lt;="&amp;A317,Transactions!$B:$B,Settings!$B$1))</f>
        <v/>
      </c>
      <c r="F317" s="14" t="str">
        <f aca="false">IF(A317="","",IF(C317="","",D317*B317*C317))</f>
        <v/>
      </c>
      <c r="G317" s="14" t="str">
        <f aca="false">IF(F317="","",F317-E317)</f>
        <v/>
      </c>
      <c r="H317" s="14" t="str">
        <f aca="false">IF(F317="","",IFERROR(F317-F316-(E317-E316),0))</f>
        <v/>
      </c>
    </row>
    <row r="318" customFormat="false" ht="15" hidden="false" customHeight="false" outlineLevel="0" collapsed="false">
      <c r="A318" s="13" t="str">
        <f aca="false">IF(Prices!A318="","",Prices!A318)</f>
        <v/>
      </c>
      <c r="B318" s="14" t="str">
        <f aca="false">IF(A318="","",Prices!C318)</f>
        <v/>
      </c>
      <c r="C318" s="15" t="str">
        <f aca="false">IF(A318="","",IFERROR(INDEX(FX!$B:$B,MATCH(A318,FX!$A:$A,1)),""))</f>
        <v/>
      </c>
      <c r="D318" s="14" t="str">
        <f aca="false">IF(A318="","",SUMIFS(Transactions!$D:$D,Transactions!$A:$A,"&lt;="&amp;A318,Transactions!$B:$B,Settings!$B$1))</f>
        <v/>
      </c>
      <c r="E318" s="14" t="str">
        <f aca="false">IF(A318="","",SUMIFS(Transactions!$C:$C,Transactions!$A:$A,"&lt;="&amp;A318,Transactions!$B:$B,Settings!$B$1)+SUMIFS(Transactions!$F:$F,Transactions!$A:$A,"&lt;="&amp;A318,Transactions!$B:$B,Settings!$B$1))</f>
        <v/>
      </c>
      <c r="F318" s="14" t="str">
        <f aca="false">IF(A318="","",IF(C318="","",D318*B318*C318))</f>
        <v/>
      </c>
      <c r="G318" s="14" t="str">
        <f aca="false">IF(F318="","",F318-E318)</f>
        <v/>
      </c>
      <c r="H318" s="14" t="str">
        <f aca="false">IF(F318="","",IFERROR(F318-F317-(E318-E317),0))</f>
        <v/>
      </c>
    </row>
    <row r="319" customFormat="false" ht="15" hidden="false" customHeight="false" outlineLevel="0" collapsed="false">
      <c r="A319" s="13" t="str">
        <f aca="false">IF(Prices!A319="","",Prices!A319)</f>
        <v/>
      </c>
      <c r="B319" s="14" t="str">
        <f aca="false">IF(A319="","",Prices!C319)</f>
        <v/>
      </c>
      <c r="C319" s="15" t="str">
        <f aca="false">IF(A319="","",IFERROR(INDEX(FX!$B:$B,MATCH(A319,FX!$A:$A,1)),""))</f>
        <v/>
      </c>
      <c r="D319" s="14" t="str">
        <f aca="false">IF(A319="","",SUMIFS(Transactions!$D:$D,Transactions!$A:$A,"&lt;="&amp;A319,Transactions!$B:$B,Settings!$B$1))</f>
        <v/>
      </c>
      <c r="E319" s="14" t="str">
        <f aca="false">IF(A319="","",SUMIFS(Transactions!$C:$C,Transactions!$A:$A,"&lt;="&amp;A319,Transactions!$B:$B,Settings!$B$1)+SUMIFS(Transactions!$F:$F,Transactions!$A:$A,"&lt;="&amp;A319,Transactions!$B:$B,Settings!$B$1))</f>
        <v/>
      </c>
      <c r="F319" s="14" t="str">
        <f aca="false">IF(A319="","",IF(C319="","",D319*B319*C319))</f>
        <v/>
      </c>
      <c r="G319" s="14" t="str">
        <f aca="false">IF(F319="","",F319-E319)</f>
        <v/>
      </c>
      <c r="H319" s="14" t="str">
        <f aca="false">IF(F319="","",IFERROR(F319-F318-(E319-E318),0))</f>
        <v/>
      </c>
    </row>
    <row r="320" customFormat="false" ht="15" hidden="false" customHeight="false" outlineLevel="0" collapsed="false">
      <c r="A320" s="13" t="str">
        <f aca="false">IF(Prices!A320="","",Prices!A320)</f>
        <v/>
      </c>
      <c r="B320" s="14" t="str">
        <f aca="false">IF(A320="","",Prices!C320)</f>
        <v/>
      </c>
      <c r="C320" s="15" t="str">
        <f aca="false">IF(A320="","",IFERROR(INDEX(FX!$B:$B,MATCH(A320,FX!$A:$A,1)),""))</f>
        <v/>
      </c>
      <c r="D320" s="14" t="str">
        <f aca="false">IF(A320="","",SUMIFS(Transactions!$D:$D,Transactions!$A:$A,"&lt;="&amp;A320,Transactions!$B:$B,Settings!$B$1))</f>
        <v/>
      </c>
      <c r="E320" s="14" t="str">
        <f aca="false">IF(A320="","",SUMIFS(Transactions!$C:$C,Transactions!$A:$A,"&lt;="&amp;A320,Transactions!$B:$B,Settings!$B$1)+SUMIFS(Transactions!$F:$F,Transactions!$A:$A,"&lt;="&amp;A320,Transactions!$B:$B,Settings!$B$1))</f>
        <v/>
      </c>
      <c r="F320" s="14" t="str">
        <f aca="false">IF(A320="","",IF(C320="","",D320*B320*C320))</f>
        <v/>
      </c>
      <c r="G320" s="14" t="str">
        <f aca="false">IF(F320="","",F320-E320)</f>
        <v/>
      </c>
      <c r="H320" s="14" t="str">
        <f aca="false">IF(F320="","",IFERROR(F320-F319-(E320-E319),0))</f>
        <v/>
      </c>
    </row>
    <row r="321" customFormat="false" ht="15" hidden="false" customHeight="false" outlineLevel="0" collapsed="false">
      <c r="A321" s="13" t="str">
        <f aca="false">IF(Prices!A321="","",Prices!A321)</f>
        <v/>
      </c>
      <c r="B321" s="14" t="str">
        <f aca="false">IF(A321="","",Prices!C321)</f>
        <v/>
      </c>
      <c r="C321" s="15" t="str">
        <f aca="false">IF(A321="","",IFERROR(INDEX(FX!$B:$B,MATCH(A321,FX!$A:$A,1)),""))</f>
        <v/>
      </c>
      <c r="D321" s="14" t="str">
        <f aca="false">IF(A321="","",SUMIFS(Transactions!$D:$D,Transactions!$A:$A,"&lt;="&amp;A321,Transactions!$B:$B,Settings!$B$1))</f>
        <v/>
      </c>
      <c r="E321" s="14" t="str">
        <f aca="false">IF(A321="","",SUMIFS(Transactions!$C:$C,Transactions!$A:$A,"&lt;="&amp;A321,Transactions!$B:$B,Settings!$B$1)+SUMIFS(Transactions!$F:$F,Transactions!$A:$A,"&lt;="&amp;A321,Transactions!$B:$B,Settings!$B$1))</f>
        <v/>
      </c>
      <c r="F321" s="14" t="str">
        <f aca="false">IF(A321="","",IF(C321="","",D321*B321*C321))</f>
        <v/>
      </c>
      <c r="G321" s="14" t="str">
        <f aca="false">IF(F321="","",F321-E321)</f>
        <v/>
      </c>
      <c r="H321" s="14" t="str">
        <f aca="false">IF(F321="","",IFERROR(F321-F320-(E321-E320),0))</f>
        <v/>
      </c>
    </row>
    <row r="322" customFormat="false" ht="15" hidden="false" customHeight="false" outlineLevel="0" collapsed="false">
      <c r="A322" s="13" t="str">
        <f aca="false">IF(Prices!A322="","",Prices!A322)</f>
        <v/>
      </c>
      <c r="B322" s="14" t="str">
        <f aca="false">IF(A322="","",Prices!C322)</f>
        <v/>
      </c>
      <c r="C322" s="15" t="str">
        <f aca="false">IF(A322="","",IFERROR(INDEX(FX!$B:$B,MATCH(A322,FX!$A:$A,1)),""))</f>
        <v/>
      </c>
      <c r="D322" s="14" t="str">
        <f aca="false">IF(A322="","",SUMIFS(Transactions!$D:$D,Transactions!$A:$A,"&lt;="&amp;A322,Transactions!$B:$B,Settings!$B$1))</f>
        <v/>
      </c>
      <c r="E322" s="14" t="str">
        <f aca="false">IF(A322="","",SUMIFS(Transactions!$C:$C,Transactions!$A:$A,"&lt;="&amp;A322,Transactions!$B:$B,Settings!$B$1)+SUMIFS(Transactions!$F:$F,Transactions!$A:$A,"&lt;="&amp;A322,Transactions!$B:$B,Settings!$B$1))</f>
        <v/>
      </c>
      <c r="F322" s="14" t="str">
        <f aca="false">IF(A322="","",IF(C322="","",D322*B322*C322))</f>
        <v/>
      </c>
      <c r="G322" s="14" t="str">
        <f aca="false">IF(F322="","",F322-E322)</f>
        <v/>
      </c>
      <c r="H322" s="14" t="str">
        <f aca="false">IF(F322="","",IFERROR(F322-F321-(E322-E321),0))</f>
        <v/>
      </c>
    </row>
    <row r="323" customFormat="false" ht="15" hidden="false" customHeight="false" outlineLevel="0" collapsed="false">
      <c r="A323" s="13" t="str">
        <f aca="false">IF(Prices!A323="","",Prices!A323)</f>
        <v/>
      </c>
      <c r="B323" s="14" t="str">
        <f aca="false">IF(A323="","",Prices!C323)</f>
        <v/>
      </c>
      <c r="C323" s="15" t="str">
        <f aca="false">IF(A323="","",IFERROR(INDEX(FX!$B:$B,MATCH(A323,FX!$A:$A,1)),""))</f>
        <v/>
      </c>
      <c r="D323" s="14" t="str">
        <f aca="false">IF(A323="","",SUMIFS(Transactions!$D:$D,Transactions!$A:$A,"&lt;="&amp;A323,Transactions!$B:$B,Settings!$B$1))</f>
        <v/>
      </c>
      <c r="E323" s="14" t="str">
        <f aca="false">IF(A323="","",SUMIFS(Transactions!$C:$C,Transactions!$A:$A,"&lt;="&amp;A323,Transactions!$B:$B,Settings!$B$1)+SUMIFS(Transactions!$F:$F,Transactions!$A:$A,"&lt;="&amp;A323,Transactions!$B:$B,Settings!$B$1))</f>
        <v/>
      </c>
      <c r="F323" s="14" t="str">
        <f aca="false">IF(A323="","",IF(C323="","",D323*B323*C323))</f>
        <v/>
      </c>
      <c r="G323" s="14" t="str">
        <f aca="false">IF(F323="","",F323-E323)</f>
        <v/>
      </c>
      <c r="H323" s="14" t="str">
        <f aca="false">IF(F323="","",IFERROR(F323-F322-(E323-E322),0))</f>
        <v/>
      </c>
    </row>
    <row r="324" customFormat="false" ht="15" hidden="false" customHeight="false" outlineLevel="0" collapsed="false">
      <c r="A324" s="13" t="str">
        <f aca="false">IF(Prices!A324="","",Prices!A324)</f>
        <v/>
      </c>
      <c r="B324" s="14" t="str">
        <f aca="false">IF(A324="","",Prices!C324)</f>
        <v/>
      </c>
      <c r="C324" s="15" t="str">
        <f aca="false">IF(A324="","",IFERROR(INDEX(FX!$B:$B,MATCH(A324,FX!$A:$A,1)),""))</f>
        <v/>
      </c>
      <c r="D324" s="14" t="str">
        <f aca="false">IF(A324="","",SUMIFS(Transactions!$D:$D,Transactions!$A:$A,"&lt;="&amp;A324,Transactions!$B:$B,Settings!$B$1))</f>
        <v/>
      </c>
      <c r="E324" s="14" t="str">
        <f aca="false">IF(A324="","",SUMIFS(Transactions!$C:$C,Transactions!$A:$A,"&lt;="&amp;A324,Transactions!$B:$B,Settings!$B$1)+SUMIFS(Transactions!$F:$F,Transactions!$A:$A,"&lt;="&amp;A324,Transactions!$B:$B,Settings!$B$1))</f>
        <v/>
      </c>
      <c r="F324" s="14" t="str">
        <f aca="false">IF(A324="","",IF(C324="","",D324*B324*C324))</f>
        <v/>
      </c>
      <c r="G324" s="14" t="str">
        <f aca="false">IF(F324="","",F324-E324)</f>
        <v/>
      </c>
      <c r="H324" s="14" t="str">
        <f aca="false">IF(F324="","",IFERROR(F324-F323-(E324-E323),0))</f>
        <v/>
      </c>
    </row>
    <row r="325" customFormat="false" ht="15" hidden="false" customHeight="false" outlineLevel="0" collapsed="false">
      <c r="A325" s="13" t="str">
        <f aca="false">IF(Prices!A325="","",Prices!A325)</f>
        <v/>
      </c>
      <c r="B325" s="14" t="str">
        <f aca="false">IF(A325="","",Prices!C325)</f>
        <v/>
      </c>
      <c r="C325" s="15" t="str">
        <f aca="false">IF(A325="","",IFERROR(INDEX(FX!$B:$B,MATCH(A325,FX!$A:$A,1)),""))</f>
        <v/>
      </c>
      <c r="D325" s="14" t="str">
        <f aca="false">IF(A325="","",SUMIFS(Transactions!$D:$D,Transactions!$A:$A,"&lt;="&amp;A325,Transactions!$B:$B,Settings!$B$1))</f>
        <v/>
      </c>
      <c r="E325" s="14" t="str">
        <f aca="false">IF(A325="","",SUMIFS(Transactions!$C:$C,Transactions!$A:$A,"&lt;="&amp;A325,Transactions!$B:$B,Settings!$B$1)+SUMIFS(Transactions!$F:$F,Transactions!$A:$A,"&lt;="&amp;A325,Transactions!$B:$B,Settings!$B$1))</f>
        <v/>
      </c>
      <c r="F325" s="14" t="str">
        <f aca="false">IF(A325="","",IF(C325="","",D325*B325*C325))</f>
        <v/>
      </c>
      <c r="G325" s="14" t="str">
        <f aca="false">IF(F325="","",F325-E325)</f>
        <v/>
      </c>
      <c r="H325" s="14" t="str">
        <f aca="false">IF(F325="","",IFERROR(F325-F324-(E325-E324),0))</f>
        <v/>
      </c>
    </row>
    <row r="326" customFormat="false" ht="15" hidden="false" customHeight="false" outlineLevel="0" collapsed="false">
      <c r="A326" s="13" t="str">
        <f aca="false">IF(Prices!A326="","",Prices!A326)</f>
        <v/>
      </c>
      <c r="B326" s="14" t="str">
        <f aca="false">IF(A326="","",Prices!C326)</f>
        <v/>
      </c>
      <c r="C326" s="15" t="str">
        <f aca="false">IF(A326="","",IFERROR(INDEX(FX!$B:$B,MATCH(A326,FX!$A:$A,1)),""))</f>
        <v/>
      </c>
      <c r="D326" s="14" t="str">
        <f aca="false">IF(A326="","",SUMIFS(Transactions!$D:$D,Transactions!$A:$A,"&lt;="&amp;A326,Transactions!$B:$B,Settings!$B$1))</f>
        <v/>
      </c>
      <c r="E326" s="14" t="str">
        <f aca="false">IF(A326="","",SUMIFS(Transactions!$C:$C,Transactions!$A:$A,"&lt;="&amp;A326,Transactions!$B:$B,Settings!$B$1)+SUMIFS(Transactions!$F:$F,Transactions!$A:$A,"&lt;="&amp;A326,Transactions!$B:$B,Settings!$B$1))</f>
        <v/>
      </c>
      <c r="F326" s="14" t="str">
        <f aca="false">IF(A326="","",IF(C326="","",D326*B326*C326))</f>
        <v/>
      </c>
      <c r="G326" s="14" t="str">
        <f aca="false">IF(F326="","",F326-E326)</f>
        <v/>
      </c>
      <c r="H326" s="14" t="str">
        <f aca="false">IF(F326="","",IFERROR(F326-F325-(E326-E325),0))</f>
        <v/>
      </c>
    </row>
    <row r="327" customFormat="false" ht="15" hidden="false" customHeight="false" outlineLevel="0" collapsed="false">
      <c r="A327" s="13" t="str">
        <f aca="false">IF(Prices!A327="","",Prices!A327)</f>
        <v/>
      </c>
      <c r="B327" s="14" t="str">
        <f aca="false">IF(A327="","",Prices!C327)</f>
        <v/>
      </c>
      <c r="C327" s="15" t="str">
        <f aca="false">IF(A327="","",IFERROR(INDEX(FX!$B:$B,MATCH(A327,FX!$A:$A,1)),""))</f>
        <v/>
      </c>
      <c r="D327" s="14" t="str">
        <f aca="false">IF(A327="","",SUMIFS(Transactions!$D:$D,Transactions!$A:$A,"&lt;="&amp;A327,Transactions!$B:$B,Settings!$B$1))</f>
        <v/>
      </c>
      <c r="E327" s="14" t="str">
        <f aca="false">IF(A327="","",SUMIFS(Transactions!$C:$C,Transactions!$A:$A,"&lt;="&amp;A327,Transactions!$B:$B,Settings!$B$1)+SUMIFS(Transactions!$F:$F,Transactions!$A:$A,"&lt;="&amp;A327,Transactions!$B:$B,Settings!$B$1))</f>
        <v/>
      </c>
      <c r="F327" s="14" t="str">
        <f aca="false">IF(A327="","",IF(C327="","",D327*B327*C327))</f>
        <v/>
      </c>
      <c r="G327" s="14" t="str">
        <f aca="false">IF(F327="","",F327-E327)</f>
        <v/>
      </c>
      <c r="H327" s="14" t="str">
        <f aca="false">IF(F327="","",IFERROR(F327-F326-(E327-E326),0))</f>
        <v/>
      </c>
    </row>
    <row r="328" customFormat="false" ht="15" hidden="false" customHeight="false" outlineLevel="0" collapsed="false">
      <c r="A328" s="13" t="str">
        <f aca="false">IF(Prices!A328="","",Prices!A328)</f>
        <v/>
      </c>
      <c r="B328" s="14" t="str">
        <f aca="false">IF(A328="","",Prices!C328)</f>
        <v/>
      </c>
      <c r="C328" s="15" t="str">
        <f aca="false">IF(A328="","",IFERROR(INDEX(FX!$B:$B,MATCH(A328,FX!$A:$A,1)),""))</f>
        <v/>
      </c>
      <c r="D328" s="14" t="str">
        <f aca="false">IF(A328="","",SUMIFS(Transactions!$D:$D,Transactions!$A:$A,"&lt;="&amp;A328,Transactions!$B:$B,Settings!$B$1))</f>
        <v/>
      </c>
      <c r="E328" s="14" t="str">
        <f aca="false">IF(A328="","",SUMIFS(Transactions!$C:$C,Transactions!$A:$A,"&lt;="&amp;A328,Transactions!$B:$B,Settings!$B$1)+SUMIFS(Transactions!$F:$F,Transactions!$A:$A,"&lt;="&amp;A328,Transactions!$B:$B,Settings!$B$1))</f>
        <v/>
      </c>
      <c r="F328" s="14" t="str">
        <f aca="false">IF(A328="","",IF(C328="","",D328*B328*C328))</f>
        <v/>
      </c>
      <c r="G328" s="14" t="str">
        <f aca="false">IF(F328="","",F328-E328)</f>
        <v/>
      </c>
      <c r="H328" s="14" t="str">
        <f aca="false">IF(F328="","",IFERROR(F328-F327-(E328-E327),0))</f>
        <v/>
      </c>
    </row>
    <row r="329" customFormat="false" ht="15" hidden="false" customHeight="false" outlineLevel="0" collapsed="false">
      <c r="A329" s="13" t="str">
        <f aca="false">IF(Prices!A329="","",Prices!A329)</f>
        <v/>
      </c>
      <c r="B329" s="14" t="str">
        <f aca="false">IF(A329="","",Prices!C329)</f>
        <v/>
      </c>
      <c r="C329" s="15" t="str">
        <f aca="false">IF(A329="","",IFERROR(INDEX(FX!$B:$B,MATCH(A329,FX!$A:$A,1)),""))</f>
        <v/>
      </c>
      <c r="D329" s="14" t="str">
        <f aca="false">IF(A329="","",SUMIFS(Transactions!$D:$D,Transactions!$A:$A,"&lt;="&amp;A329,Transactions!$B:$B,Settings!$B$1))</f>
        <v/>
      </c>
      <c r="E329" s="14" t="str">
        <f aca="false">IF(A329="","",SUMIFS(Transactions!$C:$C,Transactions!$A:$A,"&lt;="&amp;A329,Transactions!$B:$B,Settings!$B$1)+SUMIFS(Transactions!$F:$F,Transactions!$A:$A,"&lt;="&amp;A329,Transactions!$B:$B,Settings!$B$1))</f>
        <v/>
      </c>
      <c r="F329" s="14" t="str">
        <f aca="false">IF(A329="","",IF(C329="","",D329*B329*C329))</f>
        <v/>
      </c>
      <c r="G329" s="14" t="str">
        <f aca="false">IF(F329="","",F329-E329)</f>
        <v/>
      </c>
      <c r="H329" s="14" t="str">
        <f aca="false">IF(F329="","",IFERROR(F329-F328-(E329-E328),0))</f>
        <v/>
      </c>
    </row>
    <row r="330" customFormat="false" ht="15" hidden="false" customHeight="false" outlineLevel="0" collapsed="false">
      <c r="A330" s="13" t="str">
        <f aca="false">IF(Prices!A330="","",Prices!A330)</f>
        <v/>
      </c>
      <c r="B330" s="14" t="str">
        <f aca="false">IF(A330="","",Prices!C330)</f>
        <v/>
      </c>
      <c r="C330" s="15" t="str">
        <f aca="false">IF(A330="","",IFERROR(INDEX(FX!$B:$B,MATCH(A330,FX!$A:$A,1)),""))</f>
        <v/>
      </c>
      <c r="D330" s="14" t="str">
        <f aca="false">IF(A330="","",SUMIFS(Transactions!$D:$D,Transactions!$A:$A,"&lt;="&amp;A330,Transactions!$B:$B,Settings!$B$1))</f>
        <v/>
      </c>
      <c r="E330" s="14" t="str">
        <f aca="false">IF(A330="","",SUMIFS(Transactions!$C:$C,Transactions!$A:$A,"&lt;="&amp;A330,Transactions!$B:$B,Settings!$B$1)+SUMIFS(Transactions!$F:$F,Transactions!$A:$A,"&lt;="&amp;A330,Transactions!$B:$B,Settings!$B$1))</f>
        <v/>
      </c>
      <c r="F330" s="14" t="str">
        <f aca="false">IF(A330="","",IF(C330="","",D330*B330*C330))</f>
        <v/>
      </c>
      <c r="G330" s="14" t="str">
        <f aca="false">IF(F330="","",F330-E330)</f>
        <v/>
      </c>
      <c r="H330" s="14" t="str">
        <f aca="false">IF(F330="","",IFERROR(F330-F329-(E330-E329),0))</f>
        <v/>
      </c>
    </row>
    <row r="331" customFormat="false" ht="15" hidden="false" customHeight="false" outlineLevel="0" collapsed="false">
      <c r="A331" s="13" t="str">
        <f aca="false">IF(Prices!A331="","",Prices!A331)</f>
        <v/>
      </c>
      <c r="B331" s="14" t="str">
        <f aca="false">IF(A331="","",Prices!C331)</f>
        <v/>
      </c>
      <c r="C331" s="15" t="str">
        <f aca="false">IF(A331="","",IFERROR(INDEX(FX!$B:$B,MATCH(A331,FX!$A:$A,1)),""))</f>
        <v/>
      </c>
      <c r="D331" s="14" t="str">
        <f aca="false">IF(A331="","",SUMIFS(Transactions!$D:$D,Transactions!$A:$A,"&lt;="&amp;A331,Transactions!$B:$B,Settings!$B$1))</f>
        <v/>
      </c>
      <c r="E331" s="14" t="str">
        <f aca="false">IF(A331="","",SUMIFS(Transactions!$C:$C,Transactions!$A:$A,"&lt;="&amp;A331,Transactions!$B:$B,Settings!$B$1)+SUMIFS(Transactions!$F:$F,Transactions!$A:$A,"&lt;="&amp;A331,Transactions!$B:$B,Settings!$B$1))</f>
        <v/>
      </c>
      <c r="F331" s="14" t="str">
        <f aca="false">IF(A331="","",IF(C331="","",D331*B331*C331))</f>
        <v/>
      </c>
      <c r="G331" s="14" t="str">
        <f aca="false">IF(F331="","",F331-E331)</f>
        <v/>
      </c>
      <c r="H331" s="14" t="str">
        <f aca="false">IF(F331="","",IFERROR(F331-F330-(E331-E330),0))</f>
        <v/>
      </c>
    </row>
    <row r="332" customFormat="false" ht="15" hidden="false" customHeight="false" outlineLevel="0" collapsed="false">
      <c r="A332" s="13" t="str">
        <f aca="false">IF(Prices!A332="","",Prices!A332)</f>
        <v/>
      </c>
      <c r="B332" s="14" t="str">
        <f aca="false">IF(A332="","",Prices!C332)</f>
        <v/>
      </c>
      <c r="C332" s="15" t="str">
        <f aca="false">IF(A332="","",IFERROR(INDEX(FX!$B:$B,MATCH(A332,FX!$A:$A,1)),""))</f>
        <v/>
      </c>
      <c r="D332" s="14" t="str">
        <f aca="false">IF(A332="","",SUMIFS(Transactions!$D:$D,Transactions!$A:$A,"&lt;="&amp;A332,Transactions!$B:$B,Settings!$B$1))</f>
        <v/>
      </c>
      <c r="E332" s="14" t="str">
        <f aca="false">IF(A332="","",SUMIFS(Transactions!$C:$C,Transactions!$A:$A,"&lt;="&amp;A332,Transactions!$B:$B,Settings!$B$1)+SUMIFS(Transactions!$F:$F,Transactions!$A:$A,"&lt;="&amp;A332,Transactions!$B:$B,Settings!$B$1))</f>
        <v/>
      </c>
      <c r="F332" s="14" t="str">
        <f aca="false">IF(A332="","",IF(C332="","",D332*B332*C332))</f>
        <v/>
      </c>
      <c r="G332" s="14" t="str">
        <f aca="false">IF(F332="","",F332-E332)</f>
        <v/>
      </c>
      <c r="H332" s="14" t="str">
        <f aca="false">IF(F332="","",IFERROR(F332-F331-(E332-E331),0))</f>
        <v/>
      </c>
    </row>
    <row r="333" customFormat="false" ht="15" hidden="false" customHeight="false" outlineLevel="0" collapsed="false">
      <c r="A333" s="13" t="str">
        <f aca="false">IF(Prices!A333="","",Prices!A333)</f>
        <v/>
      </c>
      <c r="B333" s="14" t="str">
        <f aca="false">IF(A333="","",Prices!C333)</f>
        <v/>
      </c>
      <c r="C333" s="15" t="str">
        <f aca="false">IF(A333="","",IFERROR(INDEX(FX!$B:$B,MATCH(A333,FX!$A:$A,1)),""))</f>
        <v/>
      </c>
      <c r="D333" s="14" t="str">
        <f aca="false">IF(A333="","",SUMIFS(Transactions!$D:$D,Transactions!$A:$A,"&lt;="&amp;A333,Transactions!$B:$B,Settings!$B$1))</f>
        <v/>
      </c>
      <c r="E333" s="14" t="str">
        <f aca="false">IF(A333="","",SUMIFS(Transactions!$C:$C,Transactions!$A:$A,"&lt;="&amp;A333,Transactions!$B:$B,Settings!$B$1)+SUMIFS(Transactions!$F:$F,Transactions!$A:$A,"&lt;="&amp;A333,Transactions!$B:$B,Settings!$B$1))</f>
        <v/>
      </c>
      <c r="F333" s="14" t="str">
        <f aca="false">IF(A333="","",IF(C333="","",D333*B333*C333))</f>
        <v/>
      </c>
      <c r="G333" s="14" t="str">
        <f aca="false">IF(F333="","",F333-E333)</f>
        <v/>
      </c>
      <c r="H333" s="14" t="str">
        <f aca="false">IF(F333="","",IFERROR(F333-F332-(E333-E332),0))</f>
        <v/>
      </c>
    </row>
    <row r="334" customFormat="false" ht="15" hidden="false" customHeight="false" outlineLevel="0" collapsed="false">
      <c r="A334" s="13" t="str">
        <f aca="false">IF(Prices!A334="","",Prices!A334)</f>
        <v/>
      </c>
      <c r="B334" s="14" t="str">
        <f aca="false">IF(A334="","",Prices!C334)</f>
        <v/>
      </c>
      <c r="C334" s="15" t="str">
        <f aca="false">IF(A334="","",IFERROR(INDEX(FX!$B:$B,MATCH(A334,FX!$A:$A,1)),""))</f>
        <v/>
      </c>
      <c r="D334" s="14" t="str">
        <f aca="false">IF(A334="","",SUMIFS(Transactions!$D:$D,Transactions!$A:$A,"&lt;="&amp;A334,Transactions!$B:$B,Settings!$B$1))</f>
        <v/>
      </c>
      <c r="E334" s="14" t="str">
        <f aca="false">IF(A334="","",SUMIFS(Transactions!$C:$C,Transactions!$A:$A,"&lt;="&amp;A334,Transactions!$B:$B,Settings!$B$1)+SUMIFS(Transactions!$F:$F,Transactions!$A:$A,"&lt;="&amp;A334,Transactions!$B:$B,Settings!$B$1))</f>
        <v/>
      </c>
      <c r="F334" s="14" t="str">
        <f aca="false">IF(A334="","",IF(C334="","",D334*B334*C334))</f>
        <v/>
      </c>
      <c r="G334" s="14" t="str">
        <f aca="false">IF(F334="","",F334-E334)</f>
        <v/>
      </c>
      <c r="H334" s="14" t="str">
        <f aca="false">IF(F334="","",IFERROR(F334-F333-(E334-E333),0))</f>
        <v/>
      </c>
    </row>
    <row r="335" customFormat="false" ht="15" hidden="false" customHeight="false" outlineLevel="0" collapsed="false">
      <c r="A335" s="13" t="str">
        <f aca="false">IF(Prices!A335="","",Prices!A335)</f>
        <v/>
      </c>
      <c r="B335" s="14" t="str">
        <f aca="false">IF(A335="","",Prices!C335)</f>
        <v/>
      </c>
      <c r="C335" s="15" t="str">
        <f aca="false">IF(A335="","",IFERROR(INDEX(FX!$B:$B,MATCH(A335,FX!$A:$A,1)),""))</f>
        <v/>
      </c>
      <c r="D335" s="14" t="str">
        <f aca="false">IF(A335="","",SUMIFS(Transactions!$D:$D,Transactions!$A:$A,"&lt;="&amp;A335,Transactions!$B:$B,Settings!$B$1))</f>
        <v/>
      </c>
      <c r="E335" s="14" t="str">
        <f aca="false">IF(A335="","",SUMIFS(Transactions!$C:$C,Transactions!$A:$A,"&lt;="&amp;A335,Transactions!$B:$B,Settings!$B$1)+SUMIFS(Transactions!$F:$F,Transactions!$A:$A,"&lt;="&amp;A335,Transactions!$B:$B,Settings!$B$1))</f>
        <v/>
      </c>
      <c r="F335" s="14" t="str">
        <f aca="false">IF(A335="","",IF(C335="","",D335*B335*C335))</f>
        <v/>
      </c>
      <c r="G335" s="14" t="str">
        <f aca="false">IF(F335="","",F335-E335)</f>
        <v/>
      </c>
      <c r="H335" s="14" t="str">
        <f aca="false">IF(F335="","",IFERROR(F335-F334-(E335-E334),0))</f>
        <v/>
      </c>
    </row>
    <row r="336" customFormat="false" ht="15" hidden="false" customHeight="false" outlineLevel="0" collapsed="false">
      <c r="A336" s="13" t="str">
        <f aca="false">IF(Prices!A336="","",Prices!A336)</f>
        <v/>
      </c>
      <c r="B336" s="14" t="str">
        <f aca="false">IF(A336="","",Prices!C336)</f>
        <v/>
      </c>
      <c r="C336" s="15" t="str">
        <f aca="false">IF(A336="","",IFERROR(INDEX(FX!$B:$B,MATCH(A336,FX!$A:$A,1)),""))</f>
        <v/>
      </c>
      <c r="D336" s="14" t="str">
        <f aca="false">IF(A336="","",SUMIFS(Transactions!$D:$D,Transactions!$A:$A,"&lt;="&amp;A336,Transactions!$B:$B,Settings!$B$1))</f>
        <v/>
      </c>
      <c r="E336" s="14" t="str">
        <f aca="false">IF(A336="","",SUMIFS(Transactions!$C:$C,Transactions!$A:$A,"&lt;="&amp;A336,Transactions!$B:$B,Settings!$B$1)+SUMIFS(Transactions!$F:$F,Transactions!$A:$A,"&lt;="&amp;A336,Transactions!$B:$B,Settings!$B$1))</f>
        <v/>
      </c>
      <c r="F336" s="14" t="str">
        <f aca="false">IF(A336="","",IF(C336="","",D336*B336*C336))</f>
        <v/>
      </c>
      <c r="G336" s="14" t="str">
        <f aca="false">IF(F336="","",F336-E336)</f>
        <v/>
      </c>
      <c r="H336" s="14" t="str">
        <f aca="false">IF(F336="","",IFERROR(F336-F335-(E336-E335),0))</f>
        <v/>
      </c>
    </row>
    <row r="337" customFormat="false" ht="15" hidden="false" customHeight="false" outlineLevel="0" collapsed="false">
      <c r="A337" s="13" t="str">
        <f aca="false">IF(Prices!A337="","",Prices!A337)</f>
        <v/>
      </c>
      <c r="B337" s="14" t="str">
        <f aca="false">IF(A337="","",Prices!C337)</f>
        <v/>
      </c>
      <c r="C337" s="15" t="str">
        <f aca="false">IF(A337="","",IFERROR(INDEX(FX!$B:$B,MATCH(A337,FX!$A:$A,1)),""))</f>
        <v/>
      </c>
      <c r="D337" s="14" t="str">
        <f aca="false">IF(A337="","",SUMIFS(Transactions!$D:$D,Transactions!$A:$A,"&lt;="&amp;A337,Transactions!$B:$B,Settings!$B$1))</f>
        <v/>
      </c>
      <c r="E337" s="14" t="str">
        <f aca="false">IF(A337="","",SUMIFS(Transactions!$C:$C,Transactions!$A:$A,"&lt;="&amp;A337,Transactions!$B:$B,Settings!$B$1)+SUMIFS(Transactions!$F:$F,Transactions!$A:$A,"&lt;="&amp;A337,Transactions!$B:$B,Settings!$B$1))</f>
        <v/>
      </c>
      <c r="F337" s="14" t="str">
        <f aca="false">IF(A337="","",IF(C337="","",D337*B337*C337))</f>
        <v/>
      </c>
      <c r="G337" s="14" t="str">
        <f aca="false">IF(F337="","",F337-E337)</f>
        <v/>
      </c>
      <c r="H337" s="14" t="str">
        <f aca="false">IF(F337="","",IFERROR(F337-F336-(E337-E336),0))</f>
        <v/>
      </c>
    </row>
    <row r="338" customFormat="false" ht="15" hidden="false" customHeight="false" outlineLevel="0" collapsed="false">
      <c r="A338" s="13" t="str">
        <f aca="false">IF(Prices!A338="","",Prices!A338)</f>
        <v/>
      </c>
      <c r="B338" s="14" t="str">
        <f aca="false">IF(A338="","",Prices!C338)</f>
        <v/>
      </c>
      <c r="C338" s="15" t="str">
        <f aca="false">IF(A338="","",IFERROR(INDEX(FX!$B:$B,MATCH(A338,FX!$A:$A,1)),""))</f>
        <v/>
      </c>
      <c r="D338" s="14" t="str">
        <f aca="false">IF(A338="","",SUMIFS(Transactions!$D:$D,Transactions!$A:$A,"&lt;="&amp;A338,Transactions!$B:$B,Settings!$B$1))</f>
        <v/>
      </c>
      <c r="E338" s="14" t="str">
        <f aca="false">IF(A338="","",SUMIFS(Transactions!$C:$C,Transactions!$A:$A,"&lt;="&amp;A338,Transactions!$B:$B,Settings!$B$1)+SUMIFS(Transactions!$F:$F,Transactions!$A:$A,"&lt;="&amp;A338,Transactions!$B:$B,Settings!$B$1))</f>
        <v/>
      </c>
      <c r="F338" s="14" t="str">
        <f aca="false">IF(A338="","",IF(C338="","",D338*B338*C338))</f>
        <v/>
      </c>
      <c r="G338" s="14" t="str">
        <f aca="false">IF(F338="","",F338-E338)</f>
        <v/>
      </c>
      <c r="H338" s="14" t="str">
        <f aca="false">IF(F338="","",IFERROR(F338-F337-(E338-E337),0))</f>
        <v/>
      </c>
    </row>
    <row r="339" customFormat="false" ht="15" hidden="false" customHeight="false" outlineLevel="0" collapsed="false">
      <c r="A339" s="13" t="str">
        <f aca="false">IF(Prices!A339="","",Prices!A339)</f>
        <v/>
      </c>
      <c r="B339" s="14" t="str">
        <f aca="false">IF(A339="","",Prices!C339)</f>
        <v/>
      </c>
      <c r="C339" s="15" t="str">
        <f aca="false">IF(A339="","",IFERROR(INDEX(FX!$B:$B,MATCH(A339,FX!$A:$A,1)),""))</f>
        <v/>
      </c>
      <c r="D339" s="14" t="str">
        <f aca="false">IF(A339="","",SUMIFS(Transactions!$D:$D,Transactions!$A:$A,"&lt;="&amp;A339,Transactions!$B:$B,Settings!$B$1))</f>
        <v/>
      </c>
      <c r="E339" s="14" t="str">
        <f aca="false">IF(A339="","",SUMIFS(Transactions!$C:$C,Transactions!$A:$A,"&lt;="&amp;A339,Transactions!$B:$B,Settings!$B$1)+SUMIFS(Transactions!$F:$F,Transactions!$A:$A,"&lt;="&amp;A339,Transactions!$B:$B,Settings!$B$1))</f>
        <v/>
      </c>
      <c r="F339" s="14" t="str">
        <f aca="false">IF(A339="","",IF(C339="","",D339*B339*C339))</f>
        <v/>
      </c>
      <c r="G339" s="14" t="str">
        <f aca="false">IF(F339="","",F339-E339)</f>
        <v/>
      </c>
      <c r="H339" s="14" t="str">
        <f aca="false">IF(F339="","",IFERROR(F339-F338-(E339-E338),0))</f>
        <v/>
      </c>
    </row>
    <row r="340" customFormat="false" ht="15" hidden="false" customHeight="false" outlineLevel="0" collapsed="false">
      <c r="A340" s="13" t="str">
        <f aca="false">IF(Prices!A340="","",Prices!A340)</f>
        <v/>
      </c>
      <c r="B340" s="14" t="str">
        <f aca="false">IF(A340="","",Prices!C340)</f>
        <v/>
      </c>
      <c r="C340" s="15" t="str">
        <f aca="false">IF(A340="","",IFERROR(INDEX(FX!$B:$B,MATCH(A340,FX!$A:$A,1)),""))</f>
        <v/>
      </c>
      <c r="D340" s="14" t="str">
        <f aca="false">IF(A340="","",SUMIFS(Transactions!$D:$D,Transactions!$A:$A,"&lt;="&amp;A340,Transactions!$B:$B,Settings!$B$1))</f>
        <v/>
      </c>
      <c r="E340" s="14" t="str">
        <f aca="false">IF(A340="","",SUMIFS(Transactions!$C:$C,Transactions!$A:$A,"&lt;="&amp;A340,Transactions!$B:$B,Settings!$B$1)+SUMIFS(Transactions!$F:$F,Transactions!$A:$A,"&lt;="&amp;A340,Transactions!$B:$B,Settings!$B$1))</f>
        <v/>
      </c>
      <c r="F340" s="14" t="str">
        <f aca="false">IF(A340="","",IF(C340="","",D340*B340*C340))</f>
        <v/>
      </c>
      <c r="G340" s="14" t="str">
        <f aca="false">IF(F340="","",F340-E340)</f>
        <v/>
      </c>
      <c r="H340" s="14" t="str">
        <f aca="false">IF(F340="","",IFERROR(F340-F339-(E340-E339),0))</f>
        <v/>
      </c>
    </row>
    <row r="341" customFormat="false" ht="15" hidden="false" customHeight="false" outlineLevel="0" collapsed="false">
      <c r="A341" s="13" t="str">
        <f aca="false">IF(Prices!A341="","",Prices!A341)</f>
        <v/>
      </c>
      <c r="B341" s="14" t="str">
        <f aca="false">IF(A341="","",Prices!C341)</f>
        <v/>
      </c>
      <c r="C341" s="15" t="str">
        <f aca="false">IF(A341="","",IFERROR(INDEX(FX!$B:$B,MATCH(A341,FX!$A:$A,1)),""))</f>
        <v/>
      </c>
      <c r="D341" s="14" t="str">
        <f aca="false">IF(A341="","",SUMIFS(Transactions!$D:$D,Transactions!$A:$A,"&lt;="&amp;A341,Transactions!$B:$B,Settings!$B$1))</f>
        <v/>
      </c>
      <c r="E341" s="14" t="str">
        <f aca="false">IF(A341="","",SUMIFS(Transactions!$C:$C,Transactions!$A:$A,"&lt;="&amp;A341,Transactions!$B:$B,Settings!$B$1)+SUMIFS(Transactions!$F:$F,Transactions!$A:$A,"&lt;="&amp;A341,Transactions!$B:$B,Settings!$B$1))</f>
        <v/>
      </c>
      <c r="F341" s="14" t="str">
        <f aca="false">IF(A341="","",IF(C341="","",D341*B341*C341))</f>
        <v/>
      </c>
      <c r="G341" s="14" t="str">
        <f aca="false">IF(F341="","",F341-E341)</f>
        <v/>
      </c>
      <c r="H341" s="14" t="str">
        <f aca="false">IF(F341="","",IFERROR(F341-F340-(E341-E340),0))</f>
        <v/>
      </c>
    </row>
    <row r="342" customFormat="false" ht="15" hidden="false" customHeight="false" outlineLevel="0" collapsed="false">
      <c r="A342" s="13" t="str">
        <f aca="false">IF(Prices!A342="","",Prices!A342)</f>
        <v/>
      </c>
      <c r="B342" s="14" t="str">
        <f aca="false">IF(A342="","",Prices!C342)</f>
        <v/>
      </c>
      <c r="C342" s="15" t="str">
        <f aca="false">IF(A342="","",IFERROR(INDEX(FX!$B:$B,MATCH(A342,FX!$A:$A,1)),""))</f>
        <v/>
      </c>
      <c r="D342" s="14" t="str">
        <f aca="false">IF(A342="","",SUMIFS(Transactions!$D:$D,Transactions!$A:$A,"&lt;="&amp;A342,Transactions!$B:$B,Settings!$B$1))</f>
        <v/>
      </c>
      <c r="E342" s="14" t="str">
        <f aca="false">IF(A342="","",SUMIFS(Transactions!$C:$C,Transactions!$A:$A,"&lt;="&amp;A342,Transactions!$B:$B,Settings!$B$1)+SUMIFS(Transactions!$F:$F,Transactions!$A:$A,"&lt;="&amp;A342,Transactions!$B:$B,Settings!$B$1))</f>
        <v/>
      </c>
      <c r="F342" s="14" t="str">
        <f aca="false">IF(A342="","",IF(C342="","",D342*B342*C342))</f>
        <v/>
      </c>
      <c r="G342" s="14" t="str">
        <f aca="false">IF(F342="","",F342-E342)</f>
        <v/>
      </c>
      <c r="H342" s="14" t="str">
        <f aca="false">IF(F342="","",IFERROR(F342-F341-(E342-E341),0))</f>
        <v/>
      </c>
    </row>
    <row r="343" customFormat="false" ht="15" hidden="false" customHeight="false" outlineLevel="0" collapsed="false">
      <c r="A343" s="13" t="str">
        <f aca="false">IF(Prices!A343="","",Prices!A343)</f>
        <v/>
      </c>
      <c r="B343" s="14" t="str">
        <f aca="false">IF(A343="","",Prices!C343)</f>
        <v/>
      </c>
      <c r="C343" s="15" t="str">
        <f aca="false">IF(A343="","",IFERROR(INDEX(FX!$B:$B,MATCH(A343,FX!$A:$A,1)),""))</f>
        <v/>
      </c>
      <c r="D343" s="14" t="str">
        <f aca="false">IF(A343="","",SUMIFS(Transactions!$D:$D,Transactions!$A:$A,"&lt;="&amp;A343,Transactions!$B:$B,Settings!$B$1))</f>
        <v/>
      </c>
      <c r="E343" s="14" t="str">
        <f aca="false">IF(A343="","",SUMIFS(Transactions!$C:$C,Transactions!$A:$A,"&lt;="&amp;A343,Transactions!$B:$B,Settings!$B$1)+SUMIFS(Transactions!$F:$F,Transactions!$A:$A,"&lt;="&amp;A343,Transactions!$B:$B,Settings!$B$1))</f>
        <v/>
      </c>
      <c r="F343" s="14" t="str">
        <f aca="false">IF(A343="","",IF(C343="","",D343*B343*C343))</f>
        <v/>
      </c>
      <c r="G343" s="14" t="str">
        <f aca="false">IF(F343="","",F343-E343)</f>
        <v/>
      </c>
      <c r="H343" s="14" t="str">
        <f aca="false">IF(F343="","",IFERROR(F343-F342-(E343-E342),0))</f>
        <v/>
      </c>
    </row>
    <row r="344" customFormat="false" ht="15" hidden="false" customHeight="false" outlineLevel="0" collapsed="false">
      <c r="A344" s="13" t="str">
        <f aca="false">IF(Prices!A344="","",Prices!A344)</f>
        <v/>
      </c>
      <c r="B344" s="14" t="str">
        <f aca="false">IF(A344="","",Prices!C344)</f>
        <v/>
      </c>
      <c r="C344" s="15" t="str">
        <f aca="false">IF(A344="","",IFERROR(INDEX(FX!$B:$B,MATCH(A344,FX!$A:$A,1)),""))</f>
        <v/>
      </c>
      <c r="D344" s="14" t="str">
        <f aca="false">IF(A344="","",SUMIFS(Transactions!$D:$D,Transactions!$A:$A,"&lt;="&amp;A344,Transactions!$B:$B,Settings!$B$1))</f>
        <v/>
      </c>
      <c r="E344" s="14" t="str">
        <f aca="false">IF(A344="","",SUMIFS(Transactions!$C:$C,Transactions!$A:$A,"&lt;="&amp;A344,Transactions!$B:$B,Settings!$B$1)+SUMIFS(Transactions!$F:$F,Transactions!$A:$A,"&lt;="&amp;A344,Transactions!$B:$B,Settings!$B$1))</f>
        <v/>
      </c>
      <c r="F344" s="14" t="str">
        <f aca="false">IF(A344="","",IF(C344="","",D344*B344*C344))</f>
        <v/>
      </c>
      <c r="G344" s="14" t="str">
        <f aca="false">IF(F344="","",F344-E344)</f>
        <v/>
      </c>
      <c r="H344" s="14" t="str">
        <f aca="false">IF(F344="","",IFERROR(F344-F343-(E344-E343),0))</f>
        <v/>
      </c>
    </row>
    <row r="345" customFormat="false" ht="15" hidden="false" customHeight="false" outlineLevel="0" collapsed="false">
      <c r="A345" s="13" t="str">
        <f aca="false">IF(Prices!A345="","",Prices!A345)</f>
        <v/>
      </c>
      <c r="B345" s="14" t="str">
        <f aca="false">IF(A345="","",Prices!C345)</f>
        <v/>
      </c>
      <c r="C345" s="15" t="str">
        <f aca="false">IF(A345="","",IFERROR(INDEX(FX!$B:$B,MATCH(A345,FX!$A:$A,1)),""))</f>
        <v/>
      </c>
      <c r="D345" s="14" t="str">
        <f aca="false">IF(A345="","",SUMIFS(Transactions!$D:$D,Transactions!$A:$A,"&lt;="&amp;A345,Transactions!$B:$B,Settings!$B$1))</f>
        <v/>
      </c>
      <c r="E345" s="14" t="str">
        <f aca="false">IF(A345="","",SUMIFS(Transactions!$C:$C,Transactions!$A:$A,"&lt;="&amp;A345,Transactions!$B:$B,Settings!$B$1)+SUMIFS(Transactions!$F:$F,Transactions!$A:$A,"&lt;="&amp;A345,Transactions!$B:$B,Settings!$B$1))</f>
        <v/>
      </c>
      <c r="F345" s="14" t="str">
        <f aca="false">IF(A345="","",IF(C345="","",D345*B345*C345))</f>
        <v/>
      </c>
      <c r="G345" s="14" t="str">
        <f aca="false">IF(F345="","",F345-E345)</f>
        <v/>
      </c>
      <c r="H345" s="14" t="str">
        <f aca="false">IF(F345="","",IFERROR(F345-F344-(E345-E344),0))</f>
        <v/>
      </c>
    </row>
    <row r="346" customFormat="false" ht="15" hidden="false" customHeight="false" outlineLevel="0" collapsed="false">
      <c r="A346" s="13" t="str">
        <f aca="false">IF(Prices!A346="","",Prices!A346)</f>
        <v/>
      </c>
      <c r="B346" s="14" t="str">
        <f aca="false">IF(A346="","",Prices!C346)</f>
        <v/>
      </c>
      <c r="C346" s="15" t="str">
        <f aca="false">IF(A346="","",IFERROR(INDEX(FX!$B:$B,MATCH(A346,FX!$A:$A,1)),""))</f>
        <v/>
      </c>
      <c r="D346" s="14" t="str">
        <f aca="false">IF(A346="","",SUMIFS(Transactions!$D:$D,Transactions!$A:$A,"&lt;="&amp;A346,Transactions!$B:$B,Settings!$B$1))</f>
        <v/>
      </c>
      <c r="E346" s="14" t="str">
        <f aca="false">IF(A346="","",SUMIFS(Transactions!$C:$C,Transactions!$A:$A,"&lt;="&amp;A346,Transactions!$B:$B,Settings!$B$1)+SUMIFS(Transactions!$F:$F,Transactions!$A:$A,"&lt;="&amp;A346,Transactions!$B:$B,Settings!$B$1))</f>
        <v/>
      </c>
      <c r="F346" s="14" t="str">
        <f aca="false">IF(A346="","",IF(C346="","",D346*B346*C346))</f>
        <v/>
      </c>
      <c r="G346" s="14" t="str">
        <f aca="false">IF(F346="","",F346-E346)</f>
        <v/>
      </c>
      <c r="H346" s="14" t="str">
        <f aca="false">IF(F346="","",IFERROR(F346-F345-(E346-E345),0))</f>
        <v/>
      </c>
    </row>
    <row r="347" customFormat="false" ht="15" hidden="false" customHeight="false" outlineLevel="0" collapsed="false">
      <c r="A347" s="13" t="str">
        <f aca="false">IF(Prices!A347="","",Prices!A347)</f>
        <v/>
      </c>
      <c r="B347" s="14" t="str">
        <f aca="false">IF(A347="","",Prices!C347)</f>
        <v/>
      </c>
      <c r="C347" s="15" t="str">
        <f aca="false">IF(A347="","",IFERROR(INDEX(FX!$B:$B,MATCH(A347,FX!$A:$A,1)),""))</f>
        <v/>
      </c>
      <c r="D347" s="14" t="str">
        <f aca="false">IF(A347="","",SUMIFS(Transactions!$D:$D,Transactions!$A:$A,"&lt;="&amp;A347,Transactions!$B:$B,Settings!$B$1))</f>
        <v/>
      </c>
      <c r="E347" s="14" t="str">
        <f aca="false">IF(A347="","",SUMIFS(Transactions!$C:$C,Transactions!$A:$A,"&lt;="&amp;A347,Transactions!$B:$B,Settings!$B$1)+SUMIFS(Transactions!$F:$F,Transactions!$A:$A,"&lt;="&amp;A347,Transactions!$B:$B,Settings!$B$1))</f>
        <v/>
      </c>
      <c r="F347" s="14" t="str">
        <f aca="false">IF(A347="","",IF(C347="","",D347*B347*C347))</f>
        <v/>
      </c>
      <c r="G347" s="14" t="str">
        <f aca="false">IF(F347="","",F347-E347)</f>
        <v/>
      </c>
      <c r="H347" s="14" t="str">
        <f aca="false">IF(F347="","",IFERROR(F347-F346-(E347-E346),0))</f>
        <v/>
      </c>
    </row>
    <row r="348" customFormat="false" ht="15" hidden="false" customHeight="false" outlineLevel="0" collapsed="false">
      <c r="A348" s="13" t="str">
        <f aca="false">IF(Prices!A348="","",Prices!A348)</f>
        <v/>
      </c>
      <c r="B348" s="14" t="str">
        <f aca="false">IF(A348="","",Prices!C348)</f>
        <v/>
      </c>
      <c r="C348" s="15" t="str">
        <f aca="false">IF(A348="","",IFERROR(INDEX(FX!$B:$B,MATCH(A348,FX!$A:$A,1)),""))</f>
        <v/>
      </c>
      <c r="D348" s="14" t="str">
        <f aca="false">IF(A348="","",SUMIFS(Transactions!$D:$D,Transactions!$A:$A,"&lt;="&amp;A348,Transactions!$B:$B,Settings!$B$1))</f>
        <v/>
      </c>
      <c r="E348" s="14" t="str">
        <f aca="false">IF(A348="","",SUMIFS(Transactions!$C:$C,Transactions!$A:$A,"&lt;="&amp;A348,Transactions!$B:$B,Settings!$B$1)+SUMIFS(Transactions!$F:$F,Transactions!$A:$A,"&lt;="&amp;A348,Transactions!$B:$B,Settings!$B$1))</f>
        <v/>
      </c>
      <c r="F348" s="14" t="str">
        <f aca="false">IF(A348="","",IF(C348="","",D348*B348*C348))</f>
        <v/>
      </c>
      <c r="G348" s="14" t="str">
        <f aca="false">IF(F348="","",F348-E348)</f>
        <v/>
      </c>
      <c r="H348" s="14" t="str">
        <f aca="false">IF(F348="","",IFERROR(F348-F347-(E348-E347),0))</f>
        <v/>
      </c>
    </row>
    <row r="349" customFormat="false" ht="15" hidden="false" customHeight="false" outlineLevel="0" collapsed="false">
      <c r="A349" s="13" t="str">
        <f aca="false">IF(Prices!A349="","",Prices!A349)</f>
        <v/>
      </c>
      <c r="B349" s="14" t="str">
        <f aca="false">IF(A349="","",Prices!C349)</f>
        <v/>
      </c>
      <c r="C349" s="15" t="str">
        <f aca="false">IF(A349="","",IFERROR(INDEX(FX!$B:$B,MATCH(A349,FX!$A:$A,1)),""))</f>
        <v/>
      </c>
      <c r="D349" s="14" t="str">
        <f aca="false">IF(A349="","",SUMIFS(Transactions!$D:$D,Transactions!$A:$A,"&lt;="&amp;A349,Transactions!$B:$B,Settings!$B$1))</f>
        <v/>
      </c>
      <c r="E349" s="14" t="str">
        <f aca="false">IF(A349="","",SUMIFS(Transactions!$C:$C,Transactions!$A:$A,"&lt;="&amp;A349,Transactions!$B:$B,Settings!$B$1)+SUMIFS(Transactions!$F:$F,Transactions!$A:$A,"&lt;="&amp;A349,Transactions!$B:$B,Settings!$B$1))</f>
        <v/>
      </c>
      <c r="F349" s="14" t="str">
        <f aca="false">IF(A349="","",IF(C349="","",D349*B349*C349))</f>
        <v/>
      </c>
      <c r="G349" s="14" t="str">
        <f aca="false">IF(F349="","",F349-E349)</f>
        <v/>
      </c>
      <c r="H349" s="14" t="str">
        <f aca="false">IF(F349="","",IFERROR(F349-F348-(E349-E348),0))</f>
        <v/>
      </c>
    </row>
    <row r="350" customFormat="false" ht="15" hidden="false" customHeight="false" outlineLevel="0" collapsed="false">
      <c r="A350" s="13" t="str">
        <f aca="false">IF(Prices!A350="","",Prices!A350)</f>
        <v/>
      </c>
      <c r="B350" s="14" t="str">
        <f aca="false">IF(A350="","",Prices!C350)</f>
        <v/>
      </c>
      <c r="C350" s="15" t="str">
        <f aca="false">IF(A350="","",IFERROR(INDEX(FX!$B:$B,MATCH(A350,FX!$A:$A,1)),""))</f>
        <v/>
      </c>
      <c r="D350" s="14" t="str">
        <f aca="false">IF(A350="","",SUMIFS(Transactions!$D:$D,Transactions!$A:$A,"&lt;="&amp;A350,Transactions!$B:$B,Settings!$B$1))</f>
        <v/>
      </c>
      <c r="E350" s="14" t="str">
        <f aca="false">IF(A350="","",SUMIFS(Transactions!$C:$C,Transactions!$A:$A,"&lt;="&amp;A350,Transactions!$B:$B,Settings!$B$1)+SUMIFS(Transactions!$F:$F,Transactions!$A:$A,"&lt;="&amp;A350,Transactions!$B:$B,Settings!$B$1))</f>
        <v/>
      </c>
      <c r="F350" s="14" t="str">
        <f aca="false">IF(A350="","",IF(C350="","",D350*B350*C350))</f>
        <v/>
      </c>
      <c r="G350" s="14" t="str">
        <f aca="false">IF(F350="","",F350-E350)</f>
        <v/>
      </c>
      <c r="H350" s="14" t="str">
        <f aca="false">IF(F350="","",IFERROR(F350-F349-(E350-E349),0))</f>
        <v/>
      </c>
    </row>
    <row r="351" customFormat="false" ht="15" hidden="false" customHeight="false" outlineLevel="0" collapsed="false">
      <c r="A351" s="13" t="str">
        <f aca="false">IF(Prices!A351="","",Prices!A351)</f>
        <v/>
      </c>
      <c r="B351" s="14" t="str">
        <f aca="false">IF(A351="","",Prices!C351)</f>
        <v/>
      </c>
      <c r="C351" s="15" t="str">
        <f aca="false">IF(A351="","",IFERROR(INDEX(FX!$B:$B,MATCH(A351,FX!$A:$A,1)),""))</f>
        <v/>
      </c>
      <c r="D351" s="14" t="str">
        <f aca="false">IF(A351="","",SUMIFS(Transactions!$D:$D,Transactions!$A:$A,"&lt;="&amp;A351,Transactions!$B:$B,Settings!$B$1))</f>
        <v/>
      </c>
      <c r="E351" s="14" t="str">
        <f aca="false">IF(A351="","",SUMIFS(Transactions!$C:$C,Transactions!$A:$A,"&lt;="&amp;A351,Transactions!$B:$B,Settings!$B$1)+SUMIFS(Transactions!$F:$F,Transactions!$A:$A,"&lt;="&amp;A351,Transactions!$B:$B,Settings!$B$1))</f>
        <v/>
      </c>
      <c r="F351" s="14" t="str">
        <f aca="false">IF(A351="","",IF(C351="","",D351*B351*C351))</f>
        <v/>
      </c>
      <c r="G351" s="14" t="str">
        <f aca="false">IF(F351="","",F351-E351)</f>
        <v/>
      </c>
      <c r="H351" s="14" t="str">
        <f aca="false">IF(F351="","",IFERROR(F351-F350-(E351-E350),0))</f>
        <v/>
      </c>
    </row>
    <row r="352" customFormat="false" ht="15" hidden="false" customHeight="false" outlineLevel="0" collapsed="false">
      <c r="A352" s="13" t="str">
        <f aca="false">IF(Prices!A352="","",Prices!A352)</f>
        <v/>
      </c>
      <c r="B352" s="14" t="str">
        <f aca="false">IF(A352="","",Prices!C352)</f>
        <v/>
      </c>
      <c r="C352" s="15" t="str">
        <f aca="false">IF(A352="","",IFERROR(INDEX(FX!$B:$B,MATCH(A352,FX!$A:$A,1)),""))</f>
        <v/>
      </c>
      <c r="D352" s="14" t="str">
        <f aca="false">IF(A352="","",SUMIFS(Transactions!$D:$D,Transactions!$A:$A,"&lt;="&amp;A352,Transactions!$B:$B,Settings!$B$1))</f>
        <v/>
      </c>
      <c r="E352" s="14" t="str">
        <f aca="false">IF(A352="","",SUMIFS(Transactions!$C:$C,Transactions!$A:$A,"&lt;="&amp;A352,Transactions!$B:$B,Settings!$B$1)+SUMIFS(Transactions!$F:$F,Transactions!$A:$A,"&lt;="&amp;A352,Transactions!$B:$B,Settings!$B$1))</f>
        <v/>
      </c>
      <c r="F352" s="14" t="str">
        <f aca="false">IF(A352="","",IF(C352="","",D352*B352*C352))</f>
        <v/>
      </c>
      <c r="G352" s="14" t="str">
        <f aca="false">IF(F352="","",F352-E352)</f>
        <v/>
      </c>
      <c r="H352" s="14" t="str">
        <f aca="false">IF(F352="","",IFERROR(F352-F351-(E352-E351),0))</f>
        <v/>
      </c>
    </row>
    <row r="353" customFormat="false" ht="15" hidden="false" customHeight="false" outlineLevel="0" collapsed="false">
      <c r="A353" s="13" t="str">
        <f aca="false">IF(Prices!A353="","",Prices!A353)</f>
        <v/>
      </c>
      <c r="B353" s="14" t="str">
        <f aca="false">IF(A353="","",Prices!C353)</f>
        <v/>
      </c>
      <c r="C353" s="15" t="str">
        <f aca="false">IF(A353="","",IFERROR(INDEX(FX!$B:$B,MATCH(A353,FX!$A:$A,1)),""))</f>
        <v/>
      </c>
      <c r="D353" s="14" t="str">
        <f aca="false">IF(A353="","",SUMIFS(Transactions!$D:$D,Transactions!$A:$A,"&lt;="&amp;A353,Transactions!$B:$B,Settings!$B$1))</f>
        <v/>
      </c>
      <c r="E353" s="14" t="str">
        <f aca="false">IF(A353="","",SUMIFS(Transactions!$C:$C,Transactions!$A:$A,"&lt;="&amp;A353,Transactions!$B:$B,Settings!$B$1)+SUMIFS(Transactions!$F:$F,Transactions!$A:$A,"&lt;="&amp;A353,Transactions!$B:$B,Settings!$B$1))</f>
        <v/>
      </c>
      <c r="F353" s="14" t="str">
        <f aca="false">IF(A353="","",IF(C353="","",D353*B353*C353))</f>
        <v/>
      </c>
      <c r="G353" s="14" t="str">
        <f aca="false">IF(F353="","",F353-E353)</f>
        <v/>
      </c>
      <c r="H353" s="14" t="str">
        <f aca="false">IF(F353="","",IFERROR(F353-F352-(E353-E352),0))</f>
        <v/>
      </c>
    </row>
    <row r="354" customFormat="false" ht="15" hidden="false" customHeight="false" outlineLevel="0" collapsed="false">
      <c r="A354" s="13" t="str">
        <f aca="false">IF(Prices!A354="","",Prices!A354)</f>
        <v/>
      </c>
      <c r="B354" s="14" t="str">
        <f aca="false">IF(A354="","",Prices!C354)</f>
        <v/>
      </c>
      <c r="C354" s="15" t="str">
        <f aca="false">IF(A354="","",IFERROR(INDEX(FX!$B:$B,MATCH(A354,FX!$A:$A,1)),""))</f>
        <v/>
      </c>
      <c r="D354" s="14" t="str">
        <f aca="false">IF(A354="","",SUMIFS(Transactions!$D:$D,Transactions!$A:$A,"&lt;="&amp;A354,Transactions!$B:$B,Settings!$B$1))</f>
        <v/>
      </c>
      <c r="E354" s="14" t="str">
        <f aca="false">IF(A354="","",SUMIFS(Transactions!$C:$C,Transactions!$A:$A,"&lt;="&amp;A354,Transactions!$B:$B,Settings!$B$1)+SUMIFS(Transactions!$F:$F,Transactions!$A:$A,"&lt;="&amp;A354,Transactions!$B:$B,Settings!$B$1))</f>
        <v/>
      </c>
      <c r="F354" s="14" t="str">
        <f aca="false">IF(A354="","",IF(C354="","",D354*B354*C354))</f>
        <v/>
      </c>
      <c r="G354" s="14" t="str">
        <f aca="false">IF(F354="","",F354-E354)</f>
        <v/>
      </c>
      <c r="H354" s="14" t="str">
        <f aca="false">IF(F354="","",IFERROR(F354-F353-(E354-E353),0))</f>
        <v/>
      </c>
    </row>
    <row r="355" customFormat="false" ht="15" hidden="false" customHeight="false" outlineLevel="0" collapsed="false">
      <c r="A355" s="13" t="str">
        <f aca="false">IF(Prices!A355="","",Prices!A355)</f>
        <v/>
      </c>
      <c r="B355" s="14" t="str">
        <f aca="false">IF(A355="","",Prices!C355)</f>
        <v/>
      </c>
      <c r="C355" s="15" t="str">
        <f aca="false">IF(A355="","",IFERROR(INDEX(FX!$B:$B,MATCH(A355,FX!$A:$A,1)),""))</f>
        <v/>
      </c>
      <c r="D355" s="14" t="str">
        <f aca="false">IF(A355="","",SUMIFS(Transactions!$D:$D,Transactions!$A:$A,"&lt;="&amp;A355,Transactions!$B:$B,Settings!$B$1))</f>
        <v/>
      </c>
      <c r="E355" s="14" t="str">
        <f aca="false">IF(A355="","",SUMIFS(Transactions!$C:$C,Transactions!$A:$A,"&lt;="&amp;A355,Transactions!$B:$B,Settings!$B$1)+SUMIFS(Transactions!$F:$F,Transactions!$A:$A,"&lt;="&amp;A355,Transactions!$B:$B,Settings!$B$1))</f>
        <v/>
      </c>
      <c r="F355" s="14" t="str">
        <f aca="false">IF(A355="","",IF(C355="","",D355*B355*C355))</f>
        <v/>
      </c>
      <c r="G355" s="14" t="str">
        <f aca="false">IF(F355="","",F355-E355)</f>
        <v/>
      </c>
      <c r="H355" s="14" t="str">
        <f aca="false">IF(F355="","",IFERROR(F355-F354-(E355-E354),0))</f>
        <v/>
      </c>
    </row>
    <row r="356" customFormat="false" ht="15" hidden="false" customHeight="false" outlineLevel="0" collapsed="false">
      <c r="A356" s="13" t="str">
        <f aca="false">IF(Prices!A356="","",Prices!A356)</f>
        <v/>
      </c>
      <c r="B356" s="14" t="str">
        <f aca="false">IF(A356="","",Prices!C356)</f>
        <v/>
      </c>
      <c r="C356" s="15" t="str">
        <f aca="false">IF(A356="","",IFERROR(INDEX(FX!$B:$B,MATCH(A356,FX!$A:$A,1)),""))</f>
        <v/>
      </c>
      <c r="D356" s="14" t="str">
        <f aca="false">IF(A356="","",SUMIFS(Transactions!$D:$D,Transactions!$A:$A,"&lt;="&amp;A356,Transactions!$B:$B,Settings!$B$1))</f>
        <v/>
      </c>
      <c r="E356" s="14" t="str">
        <f aca="false">IF(A356="","",SUMIFS(Transactions!$C:$C,Transactions!$A:$A,"&lt;="&amp;A356,Transactions!$B:$B,Settings!$B$1)+SUMIFS(Transactions!$F:$F,Transactions!$A:$A,"&lt;="&amp;A356,Transactions!$B:$B,Settings!$B$1))</f>
        <v/>
      </c>
      <c r="F356" s="14" t="str">
        <f aca="false">IF(A356="","",IF(C356="","",D356*B356*C356))</f>
        <v/>
      </c>
      <c r="G356" s="14" t="str">
        <f aca="false">IF(F356="","",F356-E356)</f>
        <v/>
      </c>
      <c r="H356" s="14" t="str">
        <f aca="false">IF(F356="","",IFERROR(F356-F355-(E356-E355),0))</f>
        <v/>
      </c>
    </row>
    <row r="357" customFormat="false" ht="15" hidden="false" customHeight="false" outlineLevel="0" collapsed="false">
      <c r="A357" s="13" t="str">
        <f aca="false">IF(Prices!A357="","",Prices!A357)</f>
        <v/>
      </c>
      <c r="B357" s="14" t="str">
        <f aca="false">IF(A357="","",Prices!C357)</f>
        <v/>
      </c>
      <c r="C357" s="15" t="str">
        <f aca="false">IF(A357="","",IFERROR(INDEX(FX!$B:$B,MATCH(A357,FX!$A:$A,1)),""))</f>
        <v/>
      </c>
      <c r="D357" s="14" t="str">
        <f aca="false">IF(A357="","",SUMIFS(Transactions!$D:$D,Transactions!$A:$A,"&lt;="&amp;A357,Transactions!$B:$B,Settings!$B$1))</f>
        <v/>
      </c>
      <c r="E357" s="14" t="str">
        <f aca="false">IF(A357="","",SUMIFS(Transactions!$C:$C,Transactions!$A:$A,"&lt;="&amp;A357,Transactions!$B:$B,Settings!$B$1)+SUMIFS(Transactions!$F:$F,Transactions!$A:$A,"&lt;="&amp;A357,Transactions!$B:$B,Settings!$B$1))</f>
        <v/>
      </c>
      <c r="F357" s="14" t="str">
        <f aca="false">IF(A357="","",IF(C357="","",D357*B357*C357))</f>
        <v/>
      </c>
      <c r="G357" s="14" t="str">
        <f aca="false">IF(F357="","",F357-E357)</f>
        <v/>
      </c>
      <c r="H357" s="14" t="str">
        <f aca="false">IF(F357="","",IFERROR(F357-F356-(E357-E356),0))</f>
        <v/>
      </c>
    </row>
    <row r="358" customFormat="false" ht="15" hidden="false" customHeight="false" outlineLevel="0" collapsed="false">
      <c r="A358" s="13" t="str">
        <f aca="false">IF(Prices!A358="","",Prices!A358)</f>
        <v/>
      </c>
      <c r="B358" s="14" t="str">
        <f aca="false">IF(A358="","",Prices!C358)</f>
        <v/>
      </c>
      <c r="C358" s="15" t="str">
        <f aca="false">IF(A358="","",IFERROR(INDEX(FX!$B:$B,MATCH(A358,FX!$A:$A,1)),""))</f>
        <v/>
      </c>
      <c r="D358" s="14" t="str">
        <f aca="false">IF(A358="","",SUMIFS(Transactions!$D:$D,Transactions!$A:$A,"&lt;="&amp;A358,Transactions!$B:$B,Settings!$B$1))</f>
        <v/>
      </c>
      <c r="E358" s="14" t="str">
        <f aca="false">IF(A358="","",SUMIFS(Transactions!$C:$C,Transactions!$A:$A,"&lt;="&amp;A358,Transactions!$B:$B,Settings!$B$1)+SUMIFS(Transactions!$F:$F,Transactions!$A:$A,"&lt;="&amp;A358,Transactions!$B:$B,Settings!$B$1))</f>
        <v/>
      </c>
      <c r="F358" s="14" t="str">
        <f aca="false">IF(A358="","",IF(C358="","",D358*B358*C358))</f>
        <v/>
      </c>
      <c r="G358" s="14" t="str">
        <f aca="false">IF(F358="","",F358-E358)</f>
        <v/>
      </c>
      <c r="H358" s="14" t="str">
        <f aca="false">IF(F358="","",IFERROR(F358-F357-(E358-E357),0))</f>
        <v/>
      </c>
    </row>
    <row r="359" customFormat="false" ht="15" hidden="false" customHeight="false" outlineLevel="0" collapsed="false">
      <c r="A359" s="13" t="str">
        <f aca="false">IF(Prices!A359="","",Prices!A359)</f>
        <v/>
      </c>
      <c r="B359" s="14" t="str">
        <f aca="false">IF(A359="","",Prices!C359)</f>
        <v/>
      </c>
      <c r="C359" s="15" t="str">
        <f aca="false">IF(A359="","",IFERROR(INDEX(FX!$B:$B,MATCH(A359,FX!$A:$A,1)),""))</f>
        <v/>
      </c>
      <c r="D359" s="14" t="str">
        <f aca="false">IF(A359="","",SUMIFS(Transactions!$D:$D,Transactions!$A:$A,"&lt;="&amp;A359,Transactions!$B:$B,Settings!$B$1))</f>
        <v/>
      </c>
      <c r="E359" s="14" t="str">
        <f aca="false">IF(A359="","",SUMIFS(Transactions!$C:$C,Transactions!$A:$A,"&lt;="&amp;A359,Transactions!$B:$B,Settings!$B$1)+SUMIFS(Transactions!$F:$F,Transactions!$A:$A,"&lt;="&amp;A359,Transactions!$B:$B,Settings!$B$1))</f>
        <v/>
      </c>
      <c r="F359" s="14" t="str">
        <f aca="false">IF(A359="","",IF(C359="","",D359*B359*C359))</f>
        <v/>
      </c>
      <c r="G359" s="14" t="str">
        <f aca="false">IF(F359="","",F359-E359)</f>
        <v/>
      </c>
      <c r="H359" s="14" t="str">
        <f aca="false">IF(F359="","",IFERROR(F359-F358-(E359-E358),0))</f>
        <v/>
      </c>
    </row>
    <row r="360" customFormat="false" ht="15" hidden="false" customHeight="false" outlineLevel="0" collapsed="false">
      <c r="A360" s="13" t="str">
        <f aca="false">IF(Prices!A360="","",Prices!A360)</f>
        <v/>
      </c>
      <c r="B360" s="14" t="str">
        <f aca="false">IF(A360="","",Prices!C360)</f>
        <v/>
      </c>
      <c r="C360" s="15" t="str">
        <f aca="false">IF(A360="","",IFERROR(INDEX(FX!$B:$B,MATCH(A360,FX!$A:$A,1)),""))</f>
        <v/>
      </c>
      <c r="D360" s="14" t="str">
        <f aca="false">IF(A360="","",SUMIFS(Transactions!$D:$D,Transactions!$A:$A,"&lt;="&amp;A360,Transactions!$B:$B,Settings!$B$1))</f>
        <v/>
      </c>
      <c r="E360" s="14" t="str">
        <f aca="false">IF(A360="","",SUMIFS(Transactions!$C:$C,Transactions!$A:$A,"&lt;="&amp;A360,Transactions!$B:$B,Settings!$B$1)+SUMIFS(Transactions!$F:$F,Transactions!$A:$A,"&lt;="&amp;A360,Transactions!$B:$B,Settings!$B$1))</f>
        <v/>
      </c>
      <c r="F360" s="14" t="str">
        <f aca="false">IF(A360="","",IF(C360="","",D360*B360*C360))</f>
        <v/>
      </c>
      <c r="G360" s="14" t="str">
        <f aca="false">IF(F360="","",F360-E360)</f>
        <v/>
      </c>
      <c r="H360" s="14" t="str">
        <f aca="false">IF(F360="","",IFERROR(F360-F359-(E360-E359),0))</f>
        <v/>
      </c>
    </row>
    <row r="361" customFormat="false" ht="15" hidden="false" customHeight="false" outlineLevel="0" collapsed="false">
      <c r="A361" s="13" t="str">
        <f aca="false">IF(Prices!A361="","",Prices!A361)</f>
        <v/>
      </c>
      <c r="B361" s="14" t="str">
        <f aca="false">IF(A361="","",Prices!C361)</f>
        <v/>
      </c>
      <c r="C361" s="15" t="str">
        <f aca="false">IF(A361="","",IFERROR(INDEX(FX!$B:$B,MATCH(A361,FX!$A:$A,1)),""))</f>
        <v/>
      </c>
      <c r="D361" s="14" t="str">
        <f aca="false">IF(A361="","",SUMIFS(Transactions!$D:$D,Transactions!$A:$A,"&lt;="&amp;A361,Transactions!$B:$B,Settings!$B$1))</f>
        <v/>
      </c>
      <c r="E361" s="14" t="str">
        <f aca="false">IF(A361="","",SUMIFS(Transactions!$C:$C,Transactions!$A:$A,"&lt;="&amp;A361,Transactions!$B:$B,Settings!$B$1)+SUMIFS(Transactions!$F:$F,Transactions!$A:$A,"&lt;="&amp;A361,Transactions!$B:$B,Settings!$B$1))</f>
        <v/>
      </c>
      <c r="F361" s="14" t="str">
        <f aca="false">IF(A361="","",IF(C361="","",D361*B361*C361))</f>
        <v/>
      </c>
      <c r="G361" s="14" t="str">
        <f aca="false">IF(F361="","",F361-E361)</f>
        <v/>
      </c>
      <c r="H361" s="14" t="str">
        <f aca="false">IF(F361="","",IFERROR(F361-F360-(E361-E360),0))</f>
        <v/>
      </c>
    </row>
    <row r="362" customFormat="false" ht="15" hidden="false" customHeight="false" outlineLevel="0" collapsed="false">
      <c r="A362" s="13" t="str">
        <f aca="false">IF(Prices!A362="","",Prices!A362)</f>
        <v/>
      </c>
      <c r="B362" s="14" t="str">
        <f aca="false">IF(A362="","",Prices!C362)</f>
        <v/>
      </c>
      <c r="C362" s="15" t="str">
        <f aca="false">IF(A362="","",IFERROR(INDEX(FX!$B:$B,MATCH(A362,FX!$A:$A,1)),""))</f>
        <v/>
      </c>
      <c r="D362" s="14" t="str">
        <f aca="false">IF(A362="","",SUMIFS(Transactions!$D:$D,Transactions!$A:$A,"&lt;="&amp;A362,Transactions!$B:$B,Settings!$B$1))</f>
        <v/>
      </c>
      <c r="E362" s="14" t="str">
        <f aca="false">IF(A362="","",SUMIFS(Transactions!$C:$C,Transactions!$A:$A,"&lt;="&amp;A362,Transactions!$B:$B,Settings!$B$1)+SUMIFS(Transactions!$F:$F,Transactions!$A:$A,"&lt;="&amp;A362,Transactions!$B:$B,Settings!$B$1))</f>
        <v/>
      </c>
      <c r="F362" s="14" t="str">
        <f aca="false">IF(A362="","",IF(C362="","",D362*B362*C362))</f>
        <v/>
      </c>
      <c r="G362" s="14" t="str">
        <f aca="false">IF(F362="","",F362-E362)</f>
        <v/>
      </c>
      <c r="H362" s="14" t="str">
        <f aca="false">IF(F362="","",IFERROR(F362-F361-(E362-E361),0))</f>
        <v/>
      </c>
    </row>
    <row r="363" customFormat="false" ht="15" hidden="false" customHeight="false" outlineLevel="0" collapsed="false">
      <c r="A363" s="13" t="str">
        <f aca="false">IF(Prices!A363="","",Prices!A363)</f>
        <v/>
      </c>
      <c r="B363" s="14" t="str">
        <f aca="false">IF(A363="","",Prices!C363)</f>
        <v/>
      </c>
      <c r="C363" s="15" t="str">
        <f aca="false">IF(A363="","",IFERROR(INDEX(FX!$B:$B,MATCH(A363,FX!$A:$A,1)),""))</f>
        <v/>
      </c>
      <c r="D363" s="14" t="str">
        <f aca="false">IF(A363="","",SUMIFS(Transactions!$D:$D,Transactions!$A:$A,"&lt;="&amp;A363,Transactions!$B:$B,Settings!$B$1))</f>
        <v/>
      </c>
      <c r="E363" s="14" t="str">
        <f aca="false">IF(A363="","",SUMIFS(Transactions!$C:$C,Transactions!$A:$A,"&lt;="&amp;A363,Transactions!$B:$B,Settings!$B$1)+SUMIFS(Transactions!$F:$F,Transactions!$A:$A,"&lt;="&amp;A363,Transactions!$B:$B,Settings!$B$1))</f>
        <v/>
      </c>
      <c r="F363" s="14" t="str">
        <f aca="false">IF(A363="","",IF(C363="","",D363*B363*C363))</f>
        <v/>
      </c>
      <c r="G363" s="14" t="str">
        <f aca="false">IF(F363="","",F363-E363)</f>
        <v/>
      </c>
      <c r="H363" s="14" t="str">
        <f aca="false">IF(F363="","",IFERROR(F363-F362-(E363-E362),0))</f>
        <v/>
      </c>
    </row>
    <row r="364" customFormat="false" ht="15" hidden="false" customHeight="false" outlineLevel="0" collapsed="false">
      <c r="A364" s="13" t="str">
        <f aca="false">IF(Prices!A364="","",Prices!A364)</f>
        <v/>
      </c>
      <c r="B364" s="14" t="str">
        <f aca="false">IF(A364="","",Prices!C364)</f>
        <v/>
      </c>
      <c r="C364" s="15" t="str">
        <f aca="false">IF(A364="","",IFERROR(INDEX(FX!$B:$B,MATCH(A364,FX!$A:$A,1)),""))</f>
        <v/>
      </c>
      <c r="D364" s="14" t="str">
        <f aca="false">IF(A364="","",SUMIFS(Transactions!$D:$D,Transactions!$A:$A,"&lt;="&amp;A364,Transactions!$B:$B,Settings!$B$1))</f>
        <v/>
      </c>
      <c r="E364" s="14" t="str">
        <f aca="false">IF(A364="","",SUMIFS(Transactions!$C:$C,Transactions!$A:$A,"&lt;="&amp;A364,Transactions!$B:$B,Settings!$B$1)+SUMIFS(Transactions!$F:$F,Transactions!$A:$A,"&lt;="&amp;A364,Transactions!$B:$B,Settings!$B$1))</f>
        <v/>
      </c>
      <c r="F364" s="14" t="str">
        <f aca="false">IF(A364="","",IF(C364="","",D364*B364*C364))</f>
        <v/>
      </c>
      <c r="G364" s="14" t="str">
        <f aca="false">IF(F364="","",F364-E364)</f>
        <v/>
      </c>
      <c r="H364" s="14" t="str">
        <f aca="false">IF(F364="","",IFERROR(F364-F363-(E364-E363),0))</f>
        <v/>
      </c>
    </row>
    <row r="365" customFormat="false" ht="15" hidden="false" customHeight="false" outlineLevel="0" collapsed="false">
      <c r="A365" s="13" t="str">
        <f aca="false">IF(Prices!A365="","",Prices!A365)</f>
        <v/>
      </c>
      <c r="B365" s="14" t="str">
        <f aca="false">IF(A365="","",Prices!C365)</f>
        <v/>
      </c>
      <c r="C365" s="15" t="str">
        <f aca="false">IF(A365="","",IFERROR(INDEX(FX!$B:$B,MATCH(A365,FX!$A:$A,1)),""))</f>
        <v/>
      </c>
      <c r="D365" s="14" t="str">
        <f aca="false">IF(A365="","",SUMIFS(Transactions!$D:$D,Transactions!$A:$A,"&lt;="&amp;A365,Transactions!$B:$B,Settings!$B$1))</f>
        <v/>
      </c>
      <c r="E365" s="14" t="str">
        <f aca="false">IF(A365="","",SUMIFS(Transactions!$C:$C,Transactions!$A:$A,"&lt;="&amp;A365,Transactions!$B:$B,Settings!$B$1)+SUMIFS(Transactions!$F:$F,Transactions!$A:$A,"&lt;="&amp;A365,Transactions!$B:$B,Settings!$B$1))</f>
        <v/>
      </c>
      <c r="F365" s="14" t="str">
        <f aca="false">IF(A365="","",IF(C365="","",D365*B365*C365))</f>
        <v/>
      </c>
      <c r="G365" s="14" t="str">
        <f aca="false">IF(F365="","",F365-E365)</f>
        <v/>
      </c>
      <c r="H365" s="14" t="str">
        <f aca="false">IF(F365="","",IFERROR(F365-F364-(E365-E364),0))</f>
        <v/>
      </c>
    </row>
    <row r="366" customFormat="false" ht="15" hidden="false" customHeight="false" outlineLevel="0" collapsed="false">
      <c r="A366" s="13" t="str">
        <f aca="false">IF(Prices!A366="","",Prices!A366)</f>
        <v/>
      </c>
      <c r="B366" s="14" t="str">
        <f aca="false">IF(A366="","",Prices!C366)</f>
        <v/>
      </c>
      <c r="C366" s="15" t="str">
        <f aca="false">IF(A366="","",IFERROR(INDEX(FX!$B:$B,MATCH(A366,FX!$A:$A,1)),""))</f>
        <v/>
      </c>
      <c r="D366" s="14" t="str">
        <f aca="false">IF(A366="","",SUMIFS(Transactions!$D:$D,Transactions!$A:$A,"&lt;="&amp;A366,Transactions!$B:$B,Settings!$B$1))</f>
        <v/>
      </c>
      <c r="E366" s="14" t="str">
        <f aca="false">IF(A366="","",SUMIFS(Transactions!$C:$C,Transactions!$A:$A,"&lt;="&amp;A366,Transactions!$B:$B,Settings!$B$1)+SUMIFS(Transactions!$F:$F,Transactions!$A:$A,"&lt;="&amp;A366,Transactions!$B:$B,Settings!$B$1))</f>
        <v/>
      </c>
      <c r="F366" s="14" t="str">
        <f aca="false">IF(A366="","",IF(C366="","",D366*B366*C366))</f>
        <v/>
      </c>
      <c r="G366" s="14" t="str">
        <f aca="false">IF(F366="","",F366-E366)</f>
        <v/>
      </c>
      <c r="H366" s="14" t="str">
        <f aca="false">IF(F366="","",IFERROR(F366-F365-(E366-E365),0))</f>
        <v/>
      </c>
    </row>
    <row r="367" customFormat="false" ht="15" hidden="false" customHeight="false" outlineLevel="0" collapsed="false">
      <c r="A367" s="13" t="str">
        <f aca="false">IF(Prices!A367="","",Prices!A367)</f>
        <v/>
      </c>
      <c r="B367" s="14" t="str">
        <f aca="false">IF(A367="","",Prices!C367)</f>
        <v/>
      </c>
      <c r="C367" s="15" t="str">
        <f aca="false">IF(A367="","",IFERROR(INDEX(FX!$B:$B,MATCH(A367,FX!$A:$A,1)),""))</f>
        <v/>
      </c>
      <c r="D367" s="14" t="str">
        <f aca="false">IF(A367="","",SUMIFS(Transactions!$D:$D,Transactions!$A:$A,"&lt;="&amp;A367,Transactions!$B:$B,Settings!$B$1))</f>
        <v/>
      </c>
      <c r="E367" s="14" t="str">
        <f aca="false">IF(A367="","",SUMIFS(Transactions!$C:$C,Transactions!$A:$A,"&lt;="&amp;A367,Transactions!$B:$B,Settings!$B$1)+SUMIFS(Transactions!$F:$F,Transactions!$A:$A,"&lt;="&amp;A367,Transactions!$B:$B,Settings!$B$1))</f>
        <v/>
      </c>
      <c r="F367" s="14" t="str">
        <f aca="false">IF(A367="","",IF(C367="","",D367*B367*C367))</f>
        <v/>
      </c>
      <c r="G367" s="14" t="str">
        <f aca="false">IF(F367="","",F367-E367)</f>
        <v/>
      </c>
      <c r="H367" s="14" t="str">
        <f aca="false">IF(F367="","",IFERROR(F367-F366-(E367-E366),0))</f>
        <v/>
      </c>
    </row>
    <row r="368" customFormat="false" ht="15" hidden="false" customHeight="false" outlineLevel="0" collapsed="false">
      <c r="A368" s="13" t="str">
        <f aca="false">IF(Prices!A368="","",Prices!A368)</f>
        <v/>
      </c>
      <c r="B368" s="14" t="str">
        <f aca="false">IF(A368="","",Prices!C368)</f>
        <v/>
      </c>
      <c r="C368" s="15" t="str">
        <f aca="false">IF(A368="","",IFERROR(INDEX(FX!$B:$B,MATCH(A368,FX!$A:$A,1)),""))</f>
        <v/>
      </c>
      <c r="D368" s="14" t="str">
        <f aca="false">IF(A368="","",SUMIFS(Transactions!$D:$D,Transactions!$A:$A,"&lt;="&amp;A368,Transactions!$B:$B,Settings!$B$1))</f>
        <v/>
      </c>
      <c r="E368" s="14" t="str">
        <f aca="false">IF(A368="","",SUMIFS(Transactions!$C:$C,Transactions!$A:$A,"&lt;="&amp;A368,Transactions!$B:$B,Settings!$B$1)+SUMIFS(Transactions!$F:$F,Transactions!$A:$A,"&lt;="&amp;A368,Transactions!$B:$B,Settings!$B$1))</f>
        <v/>
      </c>
      <c r="F368" s="14" t="str">
        <f aca="false">IF(A368="","",IF(C368="","",D368*B368*C368))</f>
        <v/>
      </c>
      <c r="G368" s="14" t="str">
        <f aca="false">IF(F368="","",F368-E368)</f>
        <v/>
      </c>
      <c r="H368" s="14" t="str">
        <f aca="false">IF(F368="","",IFERROR(F368-F367-(E368-E367),0))</f>
        <v/>
      </c>
    </row>
    <row r="369" customFormat="false" ht="15" hidden="false" customHeight="false" outlineLevel="0" collapsed="false">
      <c r="A369" s="13" t="str">
        <f aca="false">IF(Prices!A369="","",Prices!A369)</f>
        <v/>
      </c>
      <c r="B369" s="14" t="str">
        <f aca="false">IF(A369="","",Prices!C369)</f>
        <v/>
      </c>
      <c r="C369" s="15" t="str">
        <f aca="false">IF(A369="","",IFERROR(INDEX(FX!$B:$B,MATCH(A369,FX!$A:$A,1)),""))</f>
        <v/>
      </c>
      <c r="D369" s="14" t="str">
        <f aca="false">IF(A369="","",SUMIFS(Transactions!$D:$D,Transactions!$A:$A,"&lt;="&amp;A369,Transactions!$B:$B,Settings!$B$1))</f>
        <v/>
      </c>
      <c r="E369" s="14" t="str">
        <f aca="false">IF(A369="","",SUMIFS(Transactions!$C:$C,Transactions!$A:$A,"&lt;="&amp;A369,Transactions!$B:$B,Settings!$B$1)+SUMIFS(Transactions!$F:$F,Transactions!$A:$A,"&lt;="&amp;A369,Transactions!$B:$B,Settings!$B$1))</f>
        <v/>
      </c>
      <c r="F369" s="14" t="str">
        <f aca="false">IF(A369="","",IF(C369="","",D369*B369*C369))</f>
        <v/>
      </c>
      <c r="G369" s="14" t="str">
        <f aca="false">IF(F369="","",F369-E369)</f>
        <v/>
      </c>
      <c r="H369" s="14" t="str">
        <f aca="false">IF(F369="","",IFERROR(F369-F368-(E369-E368),0))</f>
        <v/>
      </c>
    </row>
    <row r="370" customFormat="false" ht="15" hidden="false" customHeight="false" outlineLevel="0" collapsed="false">
      <c r="A370" s="13" t="str">
        <f aca="false">IF(Prices!A370="","",Prices!A370)</f>
        <v/>
      </c>
      <c r="B370" s="14" t="str">
        <f aca="false">IF(A370="","",Prices!C370)</f>
        <v/>
      </c>
      <c r="C370" s="15" t="str">
        <f aca="false">IF(A370="","",IFERROR(INDEX(FX!$B:$B,MATCH(A370,FX!$A:$A,1)),""))</f>
        <v/>
      </c>
      <c r="D370" s="14" t="str">
        <f aca="false">IF(A370="","",SUMIFS(Transactions!$D:$D,Transactions!$A:$A,"&lt;="&amp;A370,Transactions!$B:$B,Settings!$B$1))</f>
        <v/>
      </c>
      <c r="E370" s="14" t="str">
        <f aca="false">IF(A370="","",SUMIFS(Transactions!$C:$C,Transactions!$A:$A,"&lt;="&amp;A370,Transactions!$B:$B,Settings!$B$1)+SUMIFS(Transactions!$F:$F,Transactions!$A:$A,"&lt;="&amp;A370,Transactions!$B:$B,Settings!$B$1))</f>
        <v/>
      </c>
      <c r="F370" s="14" t="str">
        <f aca="false">IF(A370="","",IF(C370="","",D370*B370*C370))</f>
        <v/>
      </c>
      <c r="G370" s="14" t="str">
        <f aca="false">IF(F370="","",F370-E370)</f>
        <v/>
      </c>
      <c r="H370" s="14" t="str">
        <f aca="false">IF(F370="","",IFERROR(F370-F369-(E370-E369),0))</f>
        <v/>
      </c>
    </row>
    <row r="371" customFormat="false" ht="15" hidden="false" customHeight="false" outlineLevel="0" collapsed="false">
      <c r="A371" s="13" t="str">
        <f aca="false">IF(Prices!A371="","",Prices!A371)</f>
        <v/>
      </c>
      <c r="B371" s="14" t="str">
        <f aca="false">IF(A371="","",Prices!C371)</f>
        <v/>
      </c>
      <c r="C371" s="15" t="str">
        <f aca="false">IF(A371="","",IFERROR(INDEX(FX!$B:$B,MATCH(A371,FX!$A:$A,1)),""))</f>
        <v/>
      </c>
      <c r="D371" s="14" t="str">
        <f aca="false">IF(A371="","",SUMIFS(Transactions!$D:$D,Transactions!$A:$A,"&lt;="&amp;A371,Transactions!$B:$B,Settings!$B$1))</f>
        <v/>
      </c>
      <c r="E371" s="14" t="str">
        <f aca="false">IF(A371="","",SUMIFS(Transactions!$C:$C,Transactions!$A:$A,"&lt;="&amp;A371,Transactions!$B:$B,Settings!$B$1)+SUMIFS(Transactions!$F:$F,Transactions!$A:$A,"&lt;="&amp;A371,Transactions!$B:$B,Settings!$B$1))</f>
        <v/>
      </c>
      <c r="F371" s="14" t="str">
        <f aca="false">IF(A371="","",IF(C371="","",D371*B371*C371))</f>
        <v/>
      </c>
      <c r="G371" s="14" t="str">
        <f aca="false">IF(F371="","",F371-E371)</f>
        <v/>
      </c>
      <c r="H371" s="14" t="str">
        <f aca="false">IF(F371="","",IFERROR(F371-F370-(E371-E370),0))</f>
        <v/>
      </c>
    </row>
    <row r="372" customFormat="false" ht="15" hidden="false" customHeight="false" outlineLevel="0" collapsed="false">
      <c r="A372" s="13" t="str">
        <f aca="false">IF(Prices!A372="","",Prices!A372)</f>
        <v/>
      </c>
      <c r="B372" s="14" t="str">
        <f aca="false">IF(A372="","",Prices!C372)</f>
        <v/>
      </c>
      <c r="C372" s="15" t="str">
        <f aca="false">IF(A372="","",IFERROR(INDEX(FX!$B:$B,MATCH(A372,FX!$A:$A,1)),""))</f>
        <v/>
      </c>
      <c r="D372" s="14" t="str">
        <f aca="false">IF(A372="","",SUMIFS(Transactions!$D:$D,Transactions!$A:$A,"&lt;="&amp;A372,Transactions!$B:$B,Settings!$B$1))</f>
        <v/>
      </c>
      <c r="E372" s="14" t="str">
        <f aca="false">IF(A372="","",SUMIFS(Transactions!$C:$C,Transactions!$A:$A,"&lt;="&amp;A372,Transactions!$B:$B,Settings!$B$1)+SUMIFS(Transactions!$F:$F,Transactions!$A:$A,"&lt;="&amp;A372,Transactions!$B:$B,Settings!$B$1))</f>
        <v/>
      </c>
      <c r="F372" s="14" t="str">
        <f aca="false">IF(A372="","",IF(C372="","",D372*B372*C372))</f>
        <v/>
      </c>
      <c r="G372" s="14" t="str">
        <f aca="false">IF(F372="","",F372-E372)</f>
        <v/>
      </c>
      <c r="H372" s="14" t="str">
        <f aca="false">IF(F372="","",IFERROR(F372-F371-(E372-E371),0))</f>
        <v/>
      </c>
    </row>
    <row r="373" customFormat="false" ht="15" hidden="false" customHeight="false" outlineLevel="0" collapsed="false">
      <c r="A373" s="13" t="str">
        <f aca="false">IF(Prices!A373="","",Prices!A373)</f>
        <v/>
      </c>
      <c r="B373" s="14" t="str">
        <f aca="false">IF(A373="","",Prices!C373)</f>
        <v/>
      </c>
      <c r="C373" s="15" t="str">
        <f aca="false">IF(A373="","",IFERROR(INDEX(FX!$B:$B,MATCH(A373,FX!$A:$A,1)),""))</f>
        <v/>
      </c>
      <c r="D373" s="14" t="str">
        <f aca="false">IF(A373="","",SUMIFS(Transactions!$D:$D,Transactions!$A:$A,"&lt;="&amp;A373,Transactions!$B:$B,Settings!$B$1))</f>
        <v/>
      </c>
      <c r="E373" s="14" t="str">
        <f aca="false">IF(A373="","",SUMIFS(Transactions!$C:$C,Transactions!$A:$A,"&lt;="&amp;A373,Transactions!$B:$B,Settings!$B$1)+SUMIFS(Transactions!$F:$F,Transactions!$A:$A,"&lt;="&amp;A373,Transactions!$B:$B,Settings!$B$1))</f>
        <v/>
      </c>
      <c r="F373" s="14" t="str">
        <f aca="false">IF(A373="","",IF(C373="","",D373*B373*C373))</f>
        <v/>
      </c>
      <c r="G373" s="14" t="str">
        <f aca="false">IF(F373="","",F373-E373)</f>
        <v/>
      </c>
      <c r="H373" s="14" t="str">
        <f aca="false">IF(F373="","",IFERROR(F373-F372-(E373-E372),0))</f>
        <v/>
      </c>
    </row>
    <row r="374" customFormat="false" ht="15" hidden="false" customHeight="false" outlineLevel="0" collapsed="false">
      <c r="A374" s="13" t="str">
        <f aca="false">IF(Prices!A374="","",Prices!A374)</f>
        <v/>
      </c>
      <c r="B374" s="14" t="str">
        <f aca="false">IF(A374="","",Prices!C374)</f>
        <v/>
      </c>
      <c r="C374" s="15" t="str">
        <f aca="false">IF(A374="","",IFERROR(INDEX(FX!$B:$B,MATCH(A374,FX!$A:$A,1)),""))</f>
        <v/>
      </c>
      <c r="D374" s="14" t="str">
        <f aca="false">IF(A374="","",SUMIFS(Transactions!$D:$D,Transactions!$A:$A,"&lt;="&amp;A374,Transactions!$B:$B,Settings!$B$1))</f>
        <v/>
      </c>
      <c r="E374" s="14" t="str">
        <f aca="false">IF(A374="","",SUMIFS(Transactions!$C:$C,Transactions!$A:$A,"&lt;="&amp;A374,Transactions!$B:$B,Settings!$B$1)+SUMIFS(Transactions!$F:$F,Transactions!$A:$A,"&lt;="&amp;A374,Transactions!$B:$B,Settings!$B$1))</f>
        <v/>
      </c>
      <c r="F374" s="14" t="str">
        <f aca="false">IF(A374="","",IF(C374="","",D374*B374*C374))</f>
        <v/>
      </c>
      <c r="G374" s="14" t="str">
        <f aca="false">IF(F374="","",F374-E374)</f>
        <v/>
      </c>
      <c r="H374" s="14" t="str">
        <f aca="false">IF(F374="","",IFERROR(F374-F373-(E374-E373),0))</f>
        <v/>
      </c>
    </row>
    <row r="375" customFormat="false" ht="15" hidden="false" customHeight="false" outlineLevel="0" collapsed="false">
      <c r="A375" s="13" t="str">
        <f aca="false">IF(Prices!A375="","",Prices!A375)</f>
        <v/>
      </c>
      <c r="B375" s="14" t="str">
        <f aca="false">IF(A375="","",Prices!C375)</f>
        <v/>
      </c>
      <c r="C375" s="15" t="str">
        <f aca="false">IF(A375="","",IFERROR(INDEX(FX!$B:$B,MATCH(A375,FX!$A:$A,1)),""))</f>
        <v/>
      </c>
      <c r="D375" s="14" t="str">
        <f aca="false">IF(A375="","",SUMIFS(Transactions!$D:$D,Transactions!$A:$A,"&lt;="&amp;A375,Transactions!$B:$B,Settings!$B$1))</f>
        <v/>
      </c>
      <c r="E375" s="14" t="str">
        <f aca="false">IF(A375="","",SUMIFS(Transactions!$C:$C,Transactions!$A:$A,"&lt;="&amp;A375,Transactions!$B:$B,Settings!$B$1)+SUMIFS(Transactions!$F:$F,Transactions!$A:$A,"&lt;="&amp;A375,Transactions!$B:$B,Settings!$B$1))</f>
        <v/>
      </c>
      <c r="F375" s="14" t="str">
        <f aca="false">IF(A375="","",IF(C375="","",D375*B375*C375))</f>
        <v/>
      </c>
      <c r="G375" s="14" t="str">
        <f aca="false">IF(F375="","",F375-E375)</f>
        <v/>
      </c>
      <c r="H375" s="14" t="str">
        <f aca="false">IF(F375="","",IFERROR(F375-F374-(E375-E374),0))</f>
        <v/>
      </c>
    </row>
    <row r="376" customFormat="false" ht="15" hidden="false" customHeight="false" outlineLevel="0" collapsed="false">
      <c r="A376" s="13" t="str">
        <f aca="false">IF(Prices!A376="","",Prices!A376)</f>
        <v/>
      </c>
      <c r="B376" s="14" t="str">
        <f aca="false">IF(A376="","",Prices!C376)</f>
        <v/>
      </c>
      <c r="C376" s="15" t="str">
        <f aca="false">IF(A376="","",IFERROR(INDEX(FX!$B:$B,MATCH(A376,FX!$A:$A,1)),""))</f>
        <v/>
      </c>
      <c r="D376" s="14" t="str">
        <f aca="false">IF(A376="","",SUMIFS(Transactions!$D:$D,Transactions!$A:$A,"&lt;="&amp;A376,Transactions!$B:$B,Settings!$B$1))</f>
        <v/>
      </c>
      <c r="E376" s="14" t="str">
        <f aca="false">IF(A376="","",SUMIFS(Transactions!$C:$C,Transactions!$A:$A,"&lt;="&amp;A376,Transactions!$B:$B,Settings!$B$1)+SUMIFS(Transactions!$F:$F,Transactions!$A:$A,"&lt;="&amp;A376,Transactions!$B:$B,Settings!$B$1))</f>
        <v/>
      </c>
      <c r="F376" s="14" t="str">
        <f aca="false">IF(A376="","",IF(C376="","",D376*B376*C376))</f>
        <v/>
      </c>
      <c r="G376" s="14" t="str">
        <f aca="false">IF(F376="","",F376-E376)</f>
        <v/>
      </c>
      <c r="H376" s="14" t="str">
        <f aca="false">IF(F376="","",IFERROR(F376-F375-(E376-E375),0))</f>
        <v/>
      </c>
    </row>
    <row r="377" customFormat="false" ht="15" hidden="false" customHeight="false" outlineLevel="0" collapsed="false">
      <c r="A377" s="13" t="str">
        <f aca="false">IF(Prices!A377="","",Prices!A377)</f>
        <v/>
      </c>
      <c r="B377" s="14" t="str">
        <f aca="false">IF(A377="","",Prices!C377)</f>
        <v/>
      </c>
      <c r="C377" s="15" t="str">
        <f aca="false">IF(A377="","",IFERROR(INDEX(FX!$B:$B,MATCH(A377,FX!$A:$A,1)),""))</f>
        <v/>
      </c>
      <c r="D377" s="14" t="str">
        <f aca="false">IF(A377="","",SUMIFS(Transactions!$D:$D,Transactions!$A:$A,"&lt;="&amp;A377,Transactions!$B:$B,Settings!$B$1))</f>
        <v/>
      </c>
      <c r="E377" s="14" t="str">
        <f aca="false">IF(A377="","",SUMIFS(Transactions!$C:$C,Transactions!$A:$A,"&lt;="&amp;A377,Transactions!$B:$B,Settings!$B$1)+SUMIFS(Transactions!$F:$F,Transactions!$A:$A,"&lt;="&amp;A377,Transactions!$B:$B,Settings!$B$1))</f>
        <v/>
      </c>
      <c r="F377" s="14" t="str">
        <f aca="false">IF(A377="","",IF(C377="","",D377*B377*C377))</f>
        <v/>
      </c>
      <c r="G377" s="14" t="str">
        <f aca="false">IF(F377="","",F377-E377)</f>
        <v/>
      </c>
      <c r="H377" s="14" t="str">
        <f aca="false">IF(F377="","",IFERROR(F377-F376-(E377-E376),0))</f>
        <v/>
      </c>
    </row>
    <row r="378" customFormat="false" ht="15" hidden="false" customHeight="false" outlineLevel="0" collapsed="false">
      <c r="A378" s="13" t="str">
        <f aca="false">IF(Prices!A378="","",Prices!A378)</f>
        <v/>
      </c>
      <c r="B378" s="14" t="str">
        <f aca="false">IF(A378="","",Prices!C378)</f>
        <v/>
      </c>
      <c r="C378" s="15" t="str">
        <f aca="false">IF(A378="","",IFERROR(INDEX(FX!$B:$B,MATCH(A378,FX!$A:$A,1)),""))</f>
        <v/>
      </c>
      <c r="D378" s="14" t="str">
        <f aca="false">IF(A378="","",SUMIFS(Transactions!$D:$D,Transactions!$A:$A,"&lt;="&amp;A378,Transactions!$B:$B,Settings!$B$1))</f>
        <v/>
      </c>
      <c r="E378" s="14" t="str">
        <f aca="false">IF(A378="","",SUMIFS(Transactions!$C:$C,Transactions!$A:$A,"&lt;="&amp;A378,Transactions!$B:$B,Settings!$B$1)+SUMIFS(Transactions!$F:$F,Transactions!$A:$A,"&lt;="&amp;A378,Transactions!$B:$B,Settings!$B$1))</f>
        <v/>
      </c>
      <c r="F378" s="14" t="str">
        <f aca="false">IF(A378="","",IF(C378="","",D378*B378*C378))</f>
        <v/>
      </c>
      <c r="G378" s="14" t="str">
        <f aca="false">IF(F378="","",F378-E378)</f>
        <v/>
      </c>
      <c r="H378" s="14" t="str">
        <f aca="false">IF(F378="","",IFERROR(F378-F377-(E378-E377),0))</f>
        <v/>
      </c>
    </row>
    <row r="379" customFormat="false" ht="15" hidden="false" customHeight="false" outlineLevel="0" collapsed="false">
      <c r="A379" s="13" t="str">
        <f aca="false">IF(Prices!A379="","",Prices!A379)</f>
        <v/>
      </c>
      <c r="B379" s="14" t="str">
        <f aca="false">IF(A379="","",Prices!C379)</f>
        <v/>
      </c>
      <c r="C379" s="15" t="str">
        <f aca="false">IF(A379="","",IFERROR(INDEX(FX!$B:$B,MATCH(A379,FX!$A:$A,1)),""))</f>
        <v/>
      </c>
      <c r="D379" s="14" t="str">
        <f aca="false">IF(A379="","",SUMIFS(Transactions!$D:$D,Transactions!$A:$A,"&lt;="&amp;A379,Transactions!$B:$B,Settings!$B$1))</f>
        <v/>
      </c>
      <c r="E379" s="14" t="str">
        <f aca="false">IF(A379="","",SUMIFS(Transactions!$C:$C,Transactions!$A:$A,"&lt;="&amp;A379,Transactions!$B:$B,Settings!$B$1)+SUMIFS(Transactions!$F:$F,Transactions!$A:$A,"&lt;="&amp;A379,Transactions!$B:$B,Settings!$B$1))</f>
        <v/>
      </c>
      <c r="F379" s="14" t="str">
        <f aca="false">IF(A379="","",IF(C379="","",D379*B379*C379))</f>
        <v/>
      </c>
      <c r="G379" s="14" t="str">
        <f aca="false">IF(F379="","",F379-E379)</f>
        <v/>
      </c>
      <c r="H379" s="14" t="str">
        <f aca="false">IF(F379="","",IFERROR(F379-F378-(E379-E378),0))</f>
        <v/>
      </c>
    </row>
    <row r="380" customFormat="false" ht="15" hidden="false" customHeight="false" outlineLevel="0" collapsed="false">
      <c r="A380" s="13" t="str">
        <f aca="false">IF(Prices!A380="","",Prices!A380)</f>
        <v/>
      </c>
      <c r="B380" s="14" t="str">
        <f aca="false">IF(A380="","",Prices!C380)</f>
        <v/>
      </c>
      <c r="C380" s="15" t="str">
        <f aca="false">IF(A380="","",IFERROR(INDEX(FX!$B:$B,MATCH(A380,FX!$A:$A,1)),""))</f>
        <v/>
      </c>
      <c r="D380" s="14" t="str">
        <f aca="false">IF(A380="","",SUMIFS(Transactions!$D:$D,Transactions!$A:$A,"&lt;="&amp;A380,Transactions!$B:$B,Settings!$B$1))</f>
        <v/>
      </c>
      <c r="E380" s="14" t="str">
        <f aca="false">IF(A380="","",SUMIFS(Transactions!$C:$C,Transactions!$A:$A,"&lt;="&amp;A380,Transactions!$B:$B,Settings!$B$1)+SUMIFS(Transactions!$F:$F,Transactions!$A:$A,"&lt;="&amp;A380,Transactions!$B:$B,Settings!$B$1))</f>
        <v/>
      </c>
      <c r="F380" s="14" t="str">
        <f aca="false">IF(A380="","",IF(C380="","",D380*B380*C380))</f>
        <v/>
      </c>
      <c r="G380" s="14" t="str">
        <f aca="false">IF(F380="","",F380-E380)</f>
        <v/>
      </c>
      <c r="H380" s="14" t="str">
        <f aca="false">IF(F380="","",IFERROR(F380-F379-(E380-E379),0))</f>
        <v/>
      </c>
    </row>
    <row r="381" customFormat="false" ht="15" hidden="false" customHeight="false" outlineLevel="0" collapsed="false">
      <c r="A381" s="13" t="str">
        <f aca="false">IF(Prices!A381="","",Prices!A381)</f>
        <v/>
      </c>
      <c r="B381" s="14" t="str">
        <f aca="false">IF(A381="","",Prices!C381)</f>
        <v/>
      </c>
      <c r="C381" s="15" t="str">
        <f aca="false">IF(A381="","",IFERROR(INDEX(FX!$B:$B,MATCH(A381,FX!$A:$A,1)),""))</f>
        <v/>
      </c>
      <c r="D381" s="14" t="str">
        <f aca="false">IF(A381="","",SUMIFS(Transactions!$D:$D,Transactions!$A:$A,"&lt;="&amp;A381,Transactions!$B:$B,Settings!$B$1))</f>
        <v/>
      </c>
      <c r="E381" s="14" t="str">
        <f aca="false">IF(A381="","",SUMIFS(Transactions!$C:$C,Transactions!$A:$A,"&lt;="&amp;A381,Transactions!$B:$B,Settings!$B$1)+SUMIFS(Transactions!$F:$F,Transactions!$A:$A,"&lt;="&amp;A381,Transactions!$B:$B,Settings!$B$1))</f>
        <v/>
      </c>
      <c r="F381" s="14" t="str">
        <f aca="false">IF(A381="","",IF(C381="","",D381*B381*C381))</f>
        <v/>
      </c>
      <c r="G381" s="14" t="str">
        <f aca="false">IF(F381="","",F381-E381)</f>
        <v/>
      </c>
      <c r="H381" s="14" t="str">
        <f aca="false">IF(F381="","",IFERROR(F381-F380-(E381-E380),0))</f>
        <v/>
      </c>
    </row>
    <row r="382" customFormat="false" ht="15" hidden="false" customHeight="false" outlineLevel="0" collapsed="false">
      <c r="A382" s="13" t="str">
        <f aca="false">IF(Prices!A382="","",Prices!A382)</f>
        <v/>
      </c>
      <c r="B382" s="14" t="str">
        <f aca="false">IF(A382="","",Prices!C382)</f>
        <v/>
      </c>
      <c r="C382" s="15" t="str">
        <f aca="false">IF(A382="","",IFERROR(INDEX(FX!$B:$B,MATCH(A382,FX!$A:$A,1)),""))</f>
        <v/>
      </c>
      <c r="D382" s="14" t="str">
        <f aca="false">IF(A382="","",SUMIFS(Transactions!$D:$D,Transactions!$A:$A,"&lt;="&amp;A382,Transactions!$B:$B,Settings!$B$1))</f>
        <v/>
      </c>
      <c r="E382" s="14" t="str">
        <f aca="false">IF(A382="","",SUMIFS(Transactions!$C:$C,Transactions!$A:$A,"&lt;="&amp;A382,Transactions!$B:$B,Settings!$B$1)+SUMIFS(Transactions!$F:$F,Transactions!$A:$A,"&lt;="&amp;A382,Transactions!$B:$B,Settings!$B$1))</f>
        <v/>
      </c>
      <c r="F382" s="14" t="str">
        <f aca="false">IF(A382="","",IF(C382="","",D382*B382*C382))</f>
        <v/>
      </c>
      <c r="G382" s="14" t="str">
        <f aca="false">IF(F382="","",F382-E382)</f>
        <v/>
      </c>
      <c r="H382" s="14" t="str">
        <f aca="false">IF(F382="","",IFERROR(F382-F381-(E382-E381),0))</f>
        <v/>
      </c>
    </row>
    <row r="383" customFormat="false" ht="15" hidden="false" customHeight="false" outlineLevel="0" collapsed="false">
      <c r="A383" s="13" t="str">
        <f aca="false">IF(Prices!A383="","",Prices!A383)</f>
        <v/>
      </c>
      <c r="B383" s="14" t="str">
        <f aca="false">IF(A383="","",Prices!C383)</f>
        <v/>
      </c>
      <c r="C383" s="15" t="str">
        <f aca="false">IF(A383="","",IFERROR(INDEX(FX!$B:$B,MATCH(A383,FX!$A:$A,1)),""))</f>
        <v/>
      </c>
      <c r="D383" s="14" t="str">
        <f aca="false">IF(A383="","",SUMIFS(Transactions!$D:$D,Transactions!$A:$A,"&lt;="&amp;A383,Transactions!$B:$B,Settings!$B$1))</f>
        <v/>
      </c>
      <c r="E383" s="14" t="str">
        <f aca="false">IF(A383="","",SUMIFS(Transactions!$C:$C,Transactions!$A:$A,"&lt;="&amp;A383,Transactions!$B:$B,Settings!$B$1)+SUMIFS(Transactions!$F:$F,Transactions!$A:$A,"&lt;="&amp;A383,Transactions!$B:$B,Settings!$B$1))</f>
        <v/>
      </c>
      <c r="F383" s="14" t="str">
        <f aca="false">IF(A383="","",IF(C383="","",D383*B383*C383))</f>
        <v/>
      </c>
      <c r="G383" s="14" t="str">
        <f aca="false">IF(F383="","",F383-E383)</f>
        <v/>
      </c>
      <c r="H383" s="14" t="str">
        <f aca="false">IF(F383="","",IFERROR(F383-F382-(E383-E382),0))</f>
        <v/>
      </c>
    </row>
    <row r="384" customFormat="false" ht="15" hidden="false" customHeight="false" outlineLevel="0" collapsed="false">
      <c r="A384" s="13" t="str">
        <f aca="false">IF(Prices!A384="","",Prices!A384)</f>
        <v/>
      </c>
      <c r="B384" s="14" t="str">
        <f aca="false">IF(A384="","",Prices!C384)</f>
        <v/>
      </c>
      <c r="C384" s="15" t="str">
        <f aca="false">IF(A384="","",IFERROR(INDEX(FX!$B:$B,MATCH(A384,FX!$A:$A,1)),""))</f>
        <v/>
      </c>
      <c r="D384" s="14" t="str">
        <f aca="false">IF(A384="","",SUMIFS(Transactions!$D:$D,Transactions!$A:$A,"&lt;="&amp;A384,Transactions!$B:$B,Settings!$B$1))</f>
        <v/>
      </c>
      <c r="E384" s="14" t="str">
        <f aca="false">IF(A384="","",SUMIFS(Transactions!$C:$C,Transactions!$A:$A,"&lt;="&amp;A384,Transactions!$B:$B,Settings!$B$1)+SUMIFS(Transactions!$F:$F,Transactions!$A:$A,"&lt;="&amp;A384,Transactions!$B:$B,Settings!$B$1))</f>
        <v/>
      </c>
      <c r="F384" s="14" t="str">
        <f aca="false">IF(A384="","",IF(C384="","",D384*B384*C384))</f>
        <v/>
      </c>
      <c r="G384" s="14" t="str">
        <f aca="false">IF(F384="","",F384-E384)</f>
        <v/>
      </c>
      <c r="H384" s="14" t="str">
        <f aca="false">IF(F384="","",IFERROR(F384-F383-(E384-E383),0))</f>
        <v/>
      </c>
    </row>
    <row r="385" customFormat="false" ht="15" hidden="false" customHeight="false" outlineLevel="0" collapsed="false">
      <c r="A385" s="13" t="str">
        <f aca="false">IF(Prices!A385="","",Prices!A385)</f>
        <v/>
      </c>
      <c r="B385" s="14" t="str">
        <f aca="false">IF(A385="","",Prices!C385)</f>
        <v/>
      </c>
      <c r="C385" s="15" t="str">
        <f aca="false">IF(A385="","",IFERROR(INDEX(FX!$B:$B,MATCH(A385,FX!$A:$A,1)),""))</f>
        <v/>
      </c>
      <c r="D385" s="14" t="str">
        <f aca="false">IF(A385="","",SUMIFS(Transactions!$D:$D,Transactions!$A:$A,"&lt;="&amp;A385,Transactions!$B:$B,Settings!$B$1))</f>
        <v/>
      </c>
      <c r="E385" s="14" t="str">
        <f aca="false">IF(A385="","",SUMIFS(Transactions!$C:$C,Transactions!$A:$A,"&lt;="&amp;A385,Transactions!$B:$B,Settings!$B$1)+SUMIFS(Transactions!$F:$F,Transactions!$A:$A,"&lt;="&amp;A385,Transactions!$B:$B,Settings!$B$1))</f>
        <v/>
      </c>
      <c r="F385" s="14" t="str">
        <f aca="false">IF(A385="","",IF(C385="","",D385*B385*C385))</f>
        <v/>
      </c>
      <c r="G385" s="14" t="str">
        <f aca="false">IF(F385="","",F385-E385)</f>
        <v/>
      </c>
      <c r="H385" s="14" t="str">
        <f aca="false">IF(F385="","",IFERROR(F385-F384-(E385-E384),0))</f>
        <v/>
      </c>
    </row>
    <row r="386" customFormat="false" ht="15" hidden="false" customHeight="false" outlineLevel="0" collapsed="false">
      <c r="A386" s="13" t="str">
        <f aca="false">IF(Prices!A386="","",Prices!A386)</f>
        <v/>
      </c>
      <c r="B386" s="14" t="str">
        <f aca="false">IF(A386="","",Prices!C386)</f>
        <v/>
      </c>
      <c r="C386" s="15" t="str">
        <f aca="false">IF(A386="","",IFERROR(INDEX(FX!$B:$B,MATCH(A386,FX!$A:$A,1)),""))</f>
        <v/>
      </c>
      <c r="D386" s="14" t="str">
        <f aca="false">IF(A386="","",SUMIFS(Transactions!$D:$D,Transactions!$A:$A,"&lt;="&amp;A386,Transactions!$B:$B,Settings!$B$1))</f>
        <v/>
      </c>
      <c r="E386" s="14" t="str">
        <f aca="false">IF(A386="","",SUMIFS(Transactions!$C:$C,Transactions!$A:$A,"&lt;="&amp;A386,Transactions!$B:$B,Settings!$B$1)+SUMIFS(Transactions!$F:$F,Transactions!$A:$A,"&lt;="&amp;A386,Transactions!$B:$B,Settings!$B$1))</f>
        <v/>
      </c>
      <c r="F386" s="14" t="str">
        <f aca="false">IF(A386="","",IF(C386="","",D386*B386*C386))</f>
        <v/>
      </c>
      <c r="G386" s="14" t="str">
        <f aca="false">IF(F386="","",F386-E386)</f>
        <v/>
      </c>
      <c r="H386" s="14" t="str">
        <f aca="false">IF(F386="","",IFERROR(F386-F385-(E386-E385),0))</f>
        <v/>
      </c>
    </row>
    <row r="387" customFormat="false" ht="15" hidden="false" customHeight="false" outlineLevel="0" collapsed="false">
      <c r="A387" s="13" t="str">
        <f aca="false">IF(Prices!A387="","",Prices!A387)</f>
        <v/>
      </c>
      <c r="B387" s="14" t="str">
        <f aca="false">IF(A387="","",Prices!C387)</f>
        <v/>
      </c>
      <c r="C387" s="15" t="str">
        <f aca="false">IF(A387="","",IFERROR(INDEX(FX!$B:$B,MATCH(A387,FX!$A:$A,1)),""))</f>
        <v/>
      </c>
      <c r="D387" s="14" t="str">
        <f aca="false">IF(A387="","",SUMIFS(Transactions!$D:$D,Transactions!$A:$A,"&lt;="&amp;A387,Transactions!$B:$B,Settings!$B$1))</f>
        <v/>
      </c>
      <c r="E387" s="14" t="str">
        <f aca="false">IF(A387="","",SUMIFS(Transactions!$C:$C,Transactions!$A:$A,"&lt;="&amp;A387,Transactions!$B:$B,Settings!$B$1)+SUMIFS(Transactions!$F:$F,Transactions!$A:$A,"&lt;="&amp;A387,Transactions!$B:$B,Settings!$B$1))</f>
        <v/>
      </c>
      <c r="F387" s="14" t="str">
        <f aca="false">IF(A387="","",IF(C387="","",D387*B387*C387))</f>
        <v/>
      </c>
      <c r="G387" s="14" t="str">
        <f aca="false">IF(F387="","",F387-E387)</f>
        <v/>
      </c>
      <c r="H387" s="14" t="str">
        <f aca="false">IF(F387="","",IFERROR(F387-F386-(E387-E386),0))</f>
        <v/>
      </c>
    </row>
    <row r="388" customFormat="false" ht="15" hidden="false" customHeight="false" outlineLevel="0" collapsed="false">
      <c r="A388" s="13" t="str">
        <f aca="false">IF(Prices!A388="","",Prices!A388)</f>
        <v/>
      </c>
      <c r="B388" s="14" t="str">
        <f aca="false">IF(A388="","",Prices!C388)</f>
        <v/>
      </c>
      <c r="C388" s="15" t="str">
        <f aca="false">IF(A388="","",IFERROR(INDEX(FX!$B:$B,MATCH(A388,FX!$A:$A,1)),""))</f>
        <v/>
      </c>
      <c r="D388" s="14" t="str">
        <f aca="false">IF(A388="","",SUMIFS(Transactions!$D:$D,Transactions!$A:$A,"&lt;="&amp;A388,Transactions!$B:$B,Settings!$B$1))</f>
        <v/>
      </c>
      <c r="E388" s="14" t="str">
        <f aca="false">IF(A388="","",SUMIFS(Transactions!$C:$C,Transactions!$A:$A,"&lt;="&amp;A388,Transactions!$B:$B,Settings!$B$1)+SUMIFS(Transactions!$F:$F,Transactions!$A:$A,"&lt;="&amp;A388,Transactions!$B:$B,Settings!$B$1))</f>
        <v/>
      </c>
      <c r="F388" s="14" t="str">
        <f aca="false">IF(A388="","",IF(C388="","",D388*B388*C388))</f>
        <v/>
      </c>
      <c r="G388" s="14" t="str">
        <f aca="false">IF(F388="","",F388-E388)</f>
        <v/>
      </c>
      <c r="H388" s="14" t="str">
        <f aca="false">IF(F388="","",IFERROR(F388-F387-(E388-E387),0))</f>
        <v/>
      </c>
    </row>
    <row r="389" customFormat="false" ht="15" hidden="false" customHeight="false" outlineLevel="0" collapsed="false">
      <c r="A389" s="13" t="str">
        <f aca="false">IF(Prices!A389="","",Prices!A389)</f>
        <v/>
      </c>
      <c r="B389" s="14" t="str">
        <f aca="false">IF(A389="","",Prices!C389)</f>
        <v/>
      </c>
      <c r="C389" s="15" t="str">
        <f aca="false">IF(A389="","",IFERROR(INDEX(FX!$B:$B,MATCH(A389,FX!$A:$A,1)),""))</f>
        <v/>
      </c>
      <c r="D389" s="14" t="str">
        <f aca="false">IF(A389="","",SUMIFS(Transactions!$D:$D,Transactions!$A:$A,"&lt;="&amp;A389,Transactions!$B:$B,Settings!$B$1))</f>
        <v/>
      </c>
      <c r="E389" s="14" t="str">
        <f aca="false">IF(A389="","",SUMIFS(Transactions!$C:$C,Transactions!$A:$A,"&lt;="&amp;A389,Transactions!$B:$B,Settings!$B$1)+SUMIFS(Transactions!$F:$F,Transactions!$A:$A,"&lt;="&amp;A389,Transactions!$B:$B,Settings!$B$1))</f>
        <v/>
      </c>
      <c r="F389" s="14" t="str">
        <f aca="false">IF(A389="","",IF(C389="","",D389*B389*C389))</f>
        <v/>
      </c>
      <c r="G389" s="14" t="str">
        <f aca="false">IF(F389="","",F389-E389)</f>
        <v/>
      </c>
      <c r="H389" s="14" t="str">
        <f aca="false">IF(F389="","",IFERROR(F389-F388-(E389-E388),0))</f>
        <v/>
      </c>
    </row>
    <row r="390" customFormat="false" ht="15" hidden="false" customHeight="false" outlineLevel="0" collapsed="false">
      <c r="A390" s="13" t="str">
        <f aca="false">IF(Prices!A390="","",Prices!A390)</f>
        <v/>
      </c>
      <c r="B390" s="14" t="str">
        <f aca="false">IF(A390="","",Prices!C390)</f>
        <v/>
      </c>
      <c r="C390" s="15" t="str">
        <f aca="false">IF(A390="","",IFERROR(INDEX(FX!$B:$B,MATCH(A390,FX!$A:$A,1)),""))</f>
        <v/>
      </c>
      <c r="D390" s="14" t="str">
        <f aca="false">IF(A390="","",SUMIFS(Transactions!$D:$D,Transactions!$A:$A,"&lt;="&amp;A390,Transactions!$B:$B,Settings!$B$1))</f>
        <v/>
      </c>
      <c r="E390" s="14" t="str">
        <f aca="false">IF(A390="","",SUMIFS(Transactions!$C:$C,Transactions!$A:$A,"&lt;="&amp;A390,Transactions!$B:$B,Settings!$B$1)+SUMIFS(Transactions!$F:$F,Transactions!$A:$A,"&lt;="&amp;A390,Transactions!$B:$B,Settings!$B$1))</f>
        <v/>
      </c>
      <c r="F390" s="14" t="str">
        <f aca="false">IF(A390="","",IF(C390="","",D390*B390*C390))</f>
        <v/>
      </c>
      <c r="G390" s="14" t="str">
        <f aca="false">IF(F390="","",F390-E390)</f>
        <v/>
      </c>
      <c r="H390" s="14" t="str">
        <f aca="false">IF(F390="","",IFERROR(F390-F389-(E390-E389),0))</f>
        <v/>
      </c>
    </row>
    <row r="391" customFormat="false" ht="15" hidden="false" customHeight="false" outlineLevel="0" collapsed="false">
      <c r="A391" s="13" t="str">
        <f aca="false">IF(Prices!A391="","",Prices!A391)</f>
        <v/>
      </c>
      <c r="B391" s="14" t="str">
        <f aca="false">IF(A391="","",Prices!C391)</f>
        <v/>
      </c>
      <c r="C391" s="15" t="str">
        <f aca="false">IF(A391="","",IFERROR(INDEX(FX!$B:$B,MATCH(A391,FX!$A:$A,1)),""))</f>
        <v/>
      </c>
      <c r="D391" s="14" t="str">
        <f aca="false">IF(A391="","",SUMIFS(Transactions!$D:$D,Transactions!$A:$A,"&lt;="&amp;A391,Transactions!$B:$B,Settings!$B$1))</f>
        <v/>
      </c>
      <c r="E391" s="14" t="str">
        <f aca="false">IF(A391="","",SUMIFS(Transactions!$C:$C,Transactions!$A:$A,"&lt;="&amp;A391,Transactions!$B:$B,Settings!$B$1)+SUMIFS(Transactions!$F:$F,Transactions!$A:$A,"&lt;="&amp;A391,Transactions!$B:$B,Settings!$B$1))</f>
        <v/>
      </c>
      <c r="F391" s="14" t="str">
        <f aca="false">IF(A391="","",IF(C391="","",D391*B391*C391))</f>
        <v/>
      </c>
      <c r="G391" s="14" t="str">
        <f aca="false">IF(F391="","",F391-E391)</f>
        <v/>
      </c>
      <c r="H391" s="14" t="str">
        <f aca="false">IF(F391="","",IFERROR(F391-F390-(E391-E390),0))</f>
        <v/>
      </c>
    </row>
    <row r="392" customFormat="false" ht="15" hidden="false" customHeight="false" outlineLevel="0" collapsed="false">
      <c r="A392" s="13" t="str">
        <f aca="false">IF(Prices!A392="","",Prices!A392)</f>
        <v/>
      </c>
      <c r="B392" s="14" t="str">
        <f aca="false">IF(A392="","",Prices!C392)</f>
        <v/>
      </c>
      <c r="C392" s="15" t="str">
        <f aca="false">IF(A392="","",IFERROR(INDEX(FX!$B:$B,MATCH(A392,FX!$A:$A,1)),""))</f>
        <v/>
      </c>
      <c r="D392" s="14" t="str">
        <f aca="false">IF(A392="","",SUMIFS(Transactions!$D:$D,Transactions!$A:$A,"&lt;="&amp;A392,Transactions!$B:$B,Settings!$B$1))</f>
        <v/>
      </c>
      <c r="E392" s="14" t="str">
        <f aca="false">IF(A392="","",SUMIFS(Transactions!$C:$C,Transactions!$A:$A,"&lt;="&amp;A392,Transactions!$B:$B,Settings!$B$1)+SUMIFS(Transactions!$F:$F,Transactions!$A:$A,"&lt;="&amp;A392,Transactions!$B:$B,Settings!$B$1))</f>
        <v/>
      </c>
      <c r="F392" s="14" t="str">
        <f aca="false">IF(A392="","",IF(C392="","",D392*B392*C392))</f>
        <v/>
      </c>
      <c r="G392" s="14" t="str">
        <f aca="false">IF(F392="","",F392-E392)</f>
        <v/>
      </c>
      <c r="H392" s="14" t="str">
        <f aca="false">IF(F392="","",IFERROR(F392-F391-(E392-E391),0))</f>
        <v/>
      </c>
    </row>
    <row r="393" customFormat="false" ht="15" hidden="false" customHeight="false" outlineLevel="0" collapsed="false">
      <c r="A393" s="13" t="str">
        <f aca="false">IF(Prices!A393="","",Prices!A393)</f>
        <v/>
      </c>
      <c r="B393" s="14" t="str">
        <f aca="false">IF(A393="","",Prices!C393)</f>
        <v/>
      </c>
      <c r="C393" s="15" t="str">
        <f aca="false">IF(A393="","",IFERROR(INDEX(FX!$B:$B,MATCH(A393,FX!$A:$A,1)),""))</f>
        <v/>
      </c>
      <c r="D393" s="14" t="str">
        <f aca="false">IF(A393="","",SUMIFS(Transactions!$D:$D,Transactions!$A:$A,"&lt;="&amp;A393,Transactions!$B:$B,Settings!$B$1))</f>
        <v/>
      </c>
      <c r="E393" s="14" t="str">
        <f aca="false">IF(A393="","",SUMIFS(Transactions!$C:$C,Transactions!$A:$A,"&lt;="&amp;A393,Transactions!$B:$B,Settings!$B$1)+SUMIFS(Transactions!$F:$F,Transactions!$A:$A,"&lt;="&amp;A393,Transactions!$B:$B,Settings!$B$1))</f>
        <v/>
      </c>
      <c r="F393" s="14" t="str">
        <f aca="false">IF(A393="","",IF(C393="","",D393*B393*C393))</f>
        <v/>
      </c>
      <c r="G393" s="14" t="str">
        <f aca="false">IF(F393="","",F393-E393)</f>
        <v/>
      </c>
      <c r="H393" s="14" t="str">
        <f aca="false">IF(F393="","",IFERROR(F393-F392-(E393-E392),0))</f>
        <v/>
      </c>
    </row>
    <row r="394" customFormat="false" ht="15" hidden="false" customHeight="false" outlineLevel="0" collapsed="false">
      <c r="A394" s="13" t="str">
        <f aca="false">IF(Prices!A394="","",Prices!A394)</f>
        <v/>
      </c>
      <c r="B394" s="14" t="str">
        <f aca="false">IF(A394="","",Prices!C394)</f>
        <v/>
      </c>
      <c r="C394" s="15" t="str">
        <f aca="false">IF(A394="","",IFERROR(INDEX(FX!$B:$B,MATCH(A394,FX!$A:$A,1)),""))</f>
        <v/>
      </c>
      <c r="D394" s="14" t="str">
        <f aca="false">IF(A394="","",SUMIFS(Transactions!$D:$D,Transactions!$A:$A,"&lt;="&amp;A394,Transactions!$B:$B,Settings!$B$1))</f>
        <v/>
      </c>
      <c r="E394" s="14" t="str">
        <f aca="false">IF(A394="","",SUMIFS(Transactions!$C:$C,Transactions!$A:$A,"&lt;="&amp;A394,Transactions!$B:$B,Settings!$B$1)+SUMIFS(Transactions!$F:$F,Transactions!$A:$A,"&lt;="&amp;A394,Transactions!$B:$B,Settings!$B$1))</f>
        <v/>
      </c>
      <c r="F394" s="14" t="str">
        <f aca="false">IF(A394="","",IF(C394="","",D394*B394*C394))</f>
        <v/>
      </c>
      <c r="G394" s="14" t="str">
        <f aca="false">IF(F394="","",F394-E394)</f>
        <v/>
      </c>
      <c r="H394" s="14" t="str">
        <f aca="false">IF(F394="","",IFERROR(F394-F393-(E394-E393),0))</f>
        <v/>
      </c>
    </row>
    <row r="395" customFormat="false" ht="15" hidden="false" customHeight="false" outlineLevel="0" collapsed="false">
      <c r="A395" s="13" t="str">
        <f aca="false">IF(Prices!A395="","",Prices!A395)</f>
        <v/>
      </c>
      <c r="B395" s="14" t="str">
        <f aca="false">IF(A395="","",Prices!C395)</f>
        <v/>
      </c>
      <c r="C395" s="15" t="str">
        <f aca="false">IF(A395="","",IFERROR(INDEX(FX!$B:$B,MATCH(A395,FX!$A:$A,1)),""))</f>
        <v/>
      </c>
      <c r="D395" s="14" t="str">
        <f aca="false">IF(A395="","",SUMIFS(Transactions!$D:$D,Transactions!$A:$A,"&lt;="&amp;A395,Transactions!$B:$B,Settings!$B$1))</f>
        <v/>
      </c>
      <c r="E395" s="14" t="str">
        <f aca="false">IF(A395="","",SUMIFS(Transactions!$C:$C,Transactions!$A:$A,"&lt;="&amp;A395,Transactions!$B:$B,Settings!$B$1)+SUMIFS(Transactions!$F:$F,Transactions!$A:$A,"&lt;="&amp;A395,Transactions!$B:$B,Settings!$B$1))</f>
        <v/>
      </c>
      <c r="F395" s="14" t="str">
        <f aca="false">IF(A395="","",IF(C395="","",D395*B395*C395))</f>
        <v/>
      </c>
      <c r="G395" s="14" t="str">
        <f aca="false">IF(F395="","",F395-E395)</f>
        <v/>
      </c>
      <c r="H395" s="14" t="str">
        <f aca="false">IF(F395="","",IFERROR(F395-F394-(E395-E394),0))</f>
        <v/>
      </c>
    </row>
    <row r="396" customFormat="false" ht="15" hidden="false" customHeight="false" outlineLevel="0" collapsed="false">
      <c r="A396" s="13" t="str">
        <f aca="false">IF(Prices!A396="","",Prices!A396)</f>
        <v/>
      </c>
      <c r="B396" s="14" t="str">
        <f aca="false">IF(A396="","",Prices!C396)</f>
        <v/>
      </c>
      <c r="C396" s="15" t="str">
        <f aca="false">IF(A396="","",IFERROR(INDEX(FX!$B:$B,MATCH(A396,FX!$A:$A,1)),""))</f>
        <v/>
      </c>
      <c r="D396" s="14" t="str">
        <f aca="false">IF(A396="","",SUMIFS(Transactions!$D:$D,Transactions!$A:$A,"&lt;="&amp;A396,Transactions!$B:$B,Settings!$B$1))</f>
        <v/>
      </c>
      <c r="E396" s="14" t="str">
        <f aca="false">IF(A396="","",SUMIFS(Transactions!$C:$C,Transactions!$A:$A,"&lt;="&amp;A396,Transactions!$B:$B,Settings!$B$1)+SUMIFS(Transactions!$F:$F,Transactions!$A:$A,"&lt;="&amp;A396,Transactions!$B:$B,Settings!$B$1))</f>
        <v/>
      </c>
      <c r="F396" s="14" t="str">
        <f aca="false">IF(A396="","",IF(C396="","",D396*B396*C396))</f>
        <v/>
      </c>
      <c r="G396" s="14" t="str">
        <f aca="false">IF(F396="","",F396-E396)</f>
        <v/>
      </c>
      <c r="H396" s="14" t="str">
        <f aca="false">IF(F396="","",IFERROR(F396-F395-(E396-E395),0))</f>
        <v/>
      </c>
    </row>
    <row r="397" customFormat="false" ht="15" hidden="false" customHeight="false" outlineLevel="0" collapsed="false">
      <c r="A397" s="13" t="str">
        <f aca="false">IF(Prices!A397="","",Prices!A397)</f>
        <v/>
      </c>
      <c r="B397" s="14" t="str">
        <f aca="false">IF(A397="","",Prices!C397)</f>
        <v/>
      </c>
      <c r="C397" s="15" t="str">
        <f aca="false">IF(A397="","",IFERROR(INDEX(FX!$B:$B,MATCH(A397,FX!$A:$A,1)),""))</f>
        <v/>
      </c>
      <c r="D397" s="14" t="str">
        <f aca="false">IF(A397="","",SUMIFS(Transactions!$D:$D,Transactions!$A:$A,"&lt;="&amp;A397,Transactions!$B:$B,Settings!$B$1))</f>
        <v/>
      </c>
      <c r="E397" s="14" t="str">
        <f aca="false">IF(A397="","",SUMIFS(Transactions!$C:$C,Transactions!$A:$A,"&lt;="&amp;A397,Transactions!$B:$B,Settings!$B$1)+SUMIFS(Transactions!$F:$F,Transactions!$A:$A,"&lt;="&amp;A397,Transactions!$B:$B,Settings!$B$1))</f>
        <v/>
      </c>
      <c r="F397" s="14" t="str">
        <f aca="false">IF(A397="","",IF(C397="","",D397*B397*C397))</f>
        <v/>
      </c>
      <c r="G397" s="14" t="str">
        <f aca="false">IF(F397="","",F397-E397)</f>
        <v/>
      </c>
      <c r="H397" s="14" t="str">
        <f aca="false">IF(F397="","",IFERROR(F397-F396-(E397-E396),0))</f>
        <v/>
      </c>
    </row>
    <row r="398" customFormat="false" ht="15" hidden="false" customHeight="false" outlineLevel="0" collapsed="false">
      <c r="A398" s="13" t="str">
        <f aca="false">IF(Prices!A398="","",Prices!A398)</f>
        <v/>
      </c>
      <c r="B398" s="14" t="str">
        <f aca="false">IF(A398="","",Prices!C398)</f>
        <v/>
      </c>
      <c r="C398" s="15" t="str">
        <f aca="false">IF(A398="","",IFERROR(INDEX(FX!$B:$B,MATCH(A398,FX!$A:$A,1)),""))</f>
        <v/>
      </c>
      <c r="D398" s="14" t="str">
        <f aca="false">IF(A398="","",SUMIFS(Transactions!$D:$D,Transactions!$A:$A,"&lt;="&amp;A398,Transactions!$B:$B,Settings!$B$1))</f>
        <v/>
      </c>
      <c r="E398" s="14" t="str">
        <f aca="false">IF(A398="","",SUMIFS(Transactions!$C:$C,Transactions!$A:$A,"&lt;="&amp;A398,Transactions!$B:$B,Settings!$B$1)+SUMIFS(Transactions!$F:$F,Transactions!$A:$A,"&lt;="&amp;A398,Transactions!$B:$B,Settings!$B$1))</f>
        <v/>
      </c>
      <c r="F398" s="14" t="str">
        <f aca="false">IF(A398="","",IF(C398="","",D398*B398*C398))</f>
        <v/>
      </c>
      <c r="G398" s="14" t="str">
        <f aca="false">IF(F398="","",F398-E398)</f>
        <v/>
      </c>
      <c r="H398" s="14" t="str">
        <f aca="false">IF(F398="","",IFERROR(F398-F397-(E398-E397),0))</f>
        <v/>
      </c>
    </row>
    <row r="399" customFormat="false" ht="15" hidden="false" customHeight="false" outlineLevel="0" collapsed="false">
      <c r="A399" s="13" t="str">
        <f aca="false">IF(Prices!A399="","",Prices!A399)</f>
        <v/>
      </c>
      <c r="B399" s="14" t="str">
        <f aca="false">IF(A399="","",Prices!C399)</f>
        <v/>
      </c>
      <c r="C399" s="15" t="str">
        <f aca="false">IF(A399="","",IFERROR(INDEX(FX!$B:$B,MATCH(A399,FX!$A:$A,1)),""))</f>
        <v/>
      </c>
      <c r="D399" s="14" t="str">
        <f aca="false">IF(A399="","",SUMIFS(Transactions!$D:$D,Transactions!$A:$A,"&lt;="&amp;A399,Transactions!$B:$B,Settings!$B$1))</f>
        <v/>
      </c>
      <c r="E399" s="14" t="str">
        <f aca="false">IF(A399="","",SUMIFS(Transactions!$C:$C,Transactions!$A:$A,"&lt;="&amp;A399,Transactions!$B:$B,Settings!$B$1)+SUMIFS(Transactions!$F:$F,Transactions!$A:$A,"&lt;="&amp;A399,Transactions!$B:$B,Settings!$B$1))</f>
        <v/>
      </c>
      <c r="F399" s="14" t="str">
        <f aca="false">IF(A399="","",IF(C399="","",D399*B399*C399))</f>
        <v/>
      </c>
      <c r="G399" s="14" t="str">
        <f aca="false">IF(F399="","",F399-E399)</f>
        <v/>
      </c>
      <c r="H399" s="14" t="str">
        <f aca="false">IF(F399="","",IFERROR(F399-F398-(E399-E398),0))</f>
        <v/>
      </c>
    </row>
    <row r="400" customFormat="false" ht="15" hidden="false" customHeight="false" outlineLevel="0" collapsed="false">
      <c r="A400" s="13" t="str">
        <f aca="false">IF(Prices!A400="","",Prices!A400)</f>
        <v/>
      </c>
      <c r="B400" s="14" t="str">
        <f aca="false">IF(A400="","",Prices!C400)</f>
        <v/>
      </c>
      <c r="C400" s="15" t="str">
        <f aca="false">IF(A400="","",IFERROR(INDEX(FX!$B:$B,MATCH(A400,FX!$A:$A,1)),""))</f>
        <v/>
      </c>
      <c r="D400" s="14" t="str">
        <f aca="false">IF(A400="","",SUMIFS(Transactions!$D:$D,Transactions!$A:$A,"&lt;="&amp;A400,Transactions!$B:$B,Settings!$B$1))</f>
        <v/>
      </c>
      <c r="E400" s="14" t="str">
        <f aca="false">IF(A400="","",SUMIFS(Transactions!$C:$C,Transactions!$A:$A,"&lt;="&amp;A400,Transactions!$B:$B,Settings!$B$1)+SUMIFS(Transactions!$F:$F,Transactions!$A:$A,"&lt;="&amp;A400,Transactions!$B:$B,Settings!$B$1))</f>
        <v/>
      </c>
      <c r="F400" s="14" t="str">
        <f aca="false">IF(A400="","",IF(C400="","",D400*B400*C400))</f>
        <v/>
      </c>
      <c r="G400" s="14" t="str">
        <f aca="false">IF(F400="","",F400-E400)</f>
        <v/>
      </c>
      <c r="H400" s="14" t="str">
        <f aca="false">IF(F400="","",IFERROR(F400-F399-(E400-E399),0))</f>
        <v/>
      </c>
    </row>
    <row r="401" customFormat="false" ht="15" hidden="false" customHeight="false" outlineLevel="0" collapsed="false">
      <c r="A401" s="13" t="str">
        <f aca="false">IF(Prices!A401="","",Prices!A401)</f>
        <v/>
      </c>
      <c r="B401" s="14" t="str">
        <f aca="false">IF(A401="","",Prices!C401)</f>
        <v/>
      </c>
      <c r="C401" s="15" t="str">
        <f aca="false">IF(A401="","",IFERROR(INDEX(FX!$B:$B,MATCH(A401,FX!$A:$A,1)),""))</f>
        <v/>
      </c>
      <c r="D401" s="14" t="str">
        <f aca="false">IF(A401="","",SUMIFS(Transactions!$D:$D,Transactions!$A:$A,"&lt;="&amp;A401,Transactions!$B:$B,Settings!$B$1))</f>
        <v/>
      </c>
      <c r="E401" s="14" t="str">
        <f aca="false">IF(A401="","",SUMIFS(Transactions!$C:$C,Transactions!$A:$A,"&lt;="&amp;A401,Transactions!$B:$B,Settings!$B$1)+SUMIFS(Transactions!$F:$F,Transactions!$A:$A,"&lt;="&amp;A401,Transactions!$B:$B,Settings!$B$1))</f>
        <v/>
      </c>
      <c r="F401" s="14" t="str">
        <f aca="false">IF(A401="","",IF(C401="","",D401*B401*C401))</f>
        <v/>
      </c>
      <c r="G401" s="14" t="str">
        <f aca="false">IF(F401="","",F401-E401)</f>
        <v/>
      </c>
      <c r="H401" s="14" t="str">
        <f aca="false">IF(F401="","",IFERROR(F401-F400-(E401-E400),0))</f>
        <v/>
      </c>
    </row>
    <row r="402" customFormat="false" ht="15" hidden="false" customHeight="false" outlineLevel="0" collapsed="false">
      <c r="A402" s="13" t="str">
        <f aca="false">IF(Prices!A402="","",Prices!A402)</f>
        <v/>
      </c>
      <c r="B402" s="14" t="str">
        <f aca="false">IF(A402="","",Prices!C402)</f>
        <v/>
      </c>
      <c r="C402" s="15" t="str">
        <f aca="false">IF(A402="","",IFERROR(INDEX(FX!$B:$B,MATCH(A402,FX!$A:$A,1)),""))</f>
        <v/>
      </c>
      <c r="D402" s="14" t="str">
        <f aca="false">IF(A402="","",SUMIFS(Transactions!$D:$D,Transactions!$A:$A,"&lt;="&amp;A402,Transactions!$B:$B,Settings!$B$1))</f>
        <v/>
      </c>
      <c r="E402" s="14" t="str">
        <f aca="false">IF(A402="","",SUMIFS(Transactions!$C:$C,Transactions!$A:$A,"&lt;="&amp;A402,Transactions!$B:$B,Settings!$B$1)+SUMIFS(Transactions!$F:$F,Transactions!$A:$A,"&lt;="&amp;A402,Transactions!$B:$B,Settings!$B$1))</f>
        <v/>
      </c>
      <c r="F402" s="14" t="str">
        <f aca="false">IF(A402="","",IF(C402="","",D402*B402*C402))</f>
        <v/>
      </c>
      <c r="G402" s="14" t="str">
        <f aca="false">IF(F402="","",F402-E402)</f>
        <v/>
      </c>
      <c r="H402" s="14" t="str">
        <f aca="false">IF(F402="","",IFERROR(F402-F401-(E402-E401),0))</f>
        <v/>
      </c>
    </row>
    <row r="403" customFormat="false" ht="15" hidden="false" customHeight="false" outlineLevel="0" collapsed="false">
      <c r="A403" s="13" t="str">
        <f aca="false">IF(Prices!A403="","",Prices!A403)</f>
        <v/>
      </c>
      <c r="B403" s="14" t="str">
        <f aca="false">IF(A403="","",Prices!C403)</f>
        <v/>
      </c>
      <c r="C403" s="15" t="str">
        <f aca="false">IF(A403="","",IFERROR(INDEX(FX!$B:$B,MATCH(A403,FX!$A:$A,1)),""))</f>
        <v/>
      </c>
      <c r="D403" s="14" t="str">
        <f aca="false">IF(A403="","",SUMIFS(Transactions!$D:$D,Transactions!$A:$A,"&lt;="&amp;A403,Transactions!$B:$B,Settings!$B$1))</f>
        <v/>
      </c>
      <c r="E403" s="14" t="str">
        <f aca="false">IF(A403="","",SUMIFS(Transactions!$C:$C,Transactions!$A:$A,"&lt;="&amp;A403,Transactions!$B:$B,Settings!$B$1)+SUMIFS(Transactions!$F:$F,Transactions!$A:$A,"&lt;="&amp;A403,Transactions!$B:$B,Settings!$B$1))</f>
        <v/>
      </c>
      <c r="F403" s="14" t="str">
        <f aca="false">IF(A403="","",IF(C403="","",D403*B403*C403))</f>
        <v/>
      </c>
      <c r="G403" s="14" t="str">
        <f aca="false">IF(F403="","",F403-E403)</f>
        <v/>
      </c>
      <c r="H403" s="14" t="str">
        <f aca="false">IF(F403="","",IFERROR(F403-F402-(E403-E402),0))</f>
        <v/>
      </c>
    </row>
    <row r="404" customFormat="false" ht="15" hidden="false" customHeight="false" outlineLevel="0" collapsed="false">
      <c r="A404" s="13" t="str">
        <f aca="false">IF(Prices!A404="","",Prices!A404)</f>
        <v/>
      </c>
      <c r="B404" s="14" t="str">
        <f aca="false">IF(A404="","",Prices!C404)</f>
        <v/>
      </c>
      <c r="C404" s="15" t="str">
        <f aca="false">IF(A404="","",IFERROR(INDEX(FX!$B:$B,MATCH(A404,FX!$A:$A,1)),""))</f>
        <v/>
      </c>
      <c r="D404" s="14" t="str">
        <f aca="false">IF(A404="","",SUMIFS(Transactions!$D:$D,Transactions!$A:$A,"&lt;="&amp;A404,Transactions!$B:$B,Settings!$B$1))</f>
        <v/>
      </c>
      <c r="E404" s="14" t="str">
        <f aca="false">IF(A404="","",SUMIFS(Transactions!$C:$C,Transactions!$A:$A,"&lt;="&amp;A404,Transactions!$B:$B,Settings!$B$1)+SUMIFS(Transactions!$F:$F,Transactions!$A:$A,"&lt;="&amp;A404,Transactions!$B:$B,Settings!$B$1))</f>
        <v/>
      </c>
      <c r="F404" s="14" t="str">
        <f aca="false">IF(A404="","",IF(C404="","",D404*B404*C404))</f>
        <v/>
      </c>
      <c r="G404" s="14" t="str">
        <f aca="false">IF(F404="","",F404-E404)</f>
        <v/>
      </c>
      <c r="H404" s="14" t="str">
        <f aca="false">IF(F404="","",IFERROR(F404-F403-(E404-E403),0))</f>
        <v/>
      </c>
    </row>
    <row r="405" customFormat="false" ht="15" hidden="false" customHeight="false" outlineLevel="0" collapsed="false">
      <c r="A405" s="13" t="str">
        <f aca="false">IF(Prices!A405="","",Prices!A405)</f>
        <v/>
      </c>
      <c r="B405" s="14" t="str">
        <f aca="false">IF(A405="","",Prices!C405)</f>
        <v/>
      </c>
      <c r="C405" s="15" t="str">
        <f aca="false">IF(A405="","",IFERROR(INDEX(FX!$B:$B,MATCH(A405,FX!$A:$A,1)),""))</f>
        <v/>
      </c>
      <c r="D405" s="14" t="str">
        <f aca="false">IF(A405="","",SUMIFS(Transactions!$D:$D,Transactions!$A:$A,"&lt;="&amp;A405,Transactions!$B:$B,Settings!$B$1))</f>
        <v/>
      </c>
      <c r="E405" s="14" t="str">
        <f aca="false">IF(A405="","",SUMIFS(Transactions!$C:$C,Transactions!$A:$A,"&lt;="&amp;A405,Transactions!$B:$B,Settings!$B$1)+SUMIFS(Transactions!$F:$F,Transactions!$A:$A,"&lt;="&amp;A405,Transactions!$B:$B,Settings!$B$1))</f>
        <v/>
      </c>
      <c r="F405" s="14" t="str">
        <f aca="false">IF(A405="","",IF(C405="","",D405*B405*C405))</f>
        <v/>
      </c>
      <c r="G405" s="14" t="str">
        <f aca="false">IF(F405="","",F405-E405)</f>
        <v/>
      </c>
      <c r="H405" s="14" t="str">
        <f aca="false">IF(F405="","",IFERROR(F405-F404-(E405-E404),0))</f>
        <v/>
      </c>
    </row>
    <row r="406" customFormat="false" ht="15" hidden="false" customHeight="false" outlineLevel="0" collapsed="false">
      <c r="A406" s="13" t="str">
        <f aca="false">IF(Prices!A406="","",Prices!A406)</f>
        <v/>
      </c>
      <c r="B406" s="14" t="str">
        <f aca="false">IF(A406="","",Prices!C406)</f>
        <v/>
      </c>
      <c r="C406" s="15" t="str">
        <f aca="false">IF(A406="","",IFERROR(INDEX(FX!$B:$B,MATCH(A406,FX!$A:$A,1)),""))</f>
        <v/>
      </c>
      <c r="D406" s="14" t="str">
        <f aca="false">IF(A406="","",SUMIFS(Transactions!$D:$D,Transactions!$A:$A,"&lt;="&amp;A406,Transactions!$B:$B,Settings!$B$1))</f>
        <v/>
      </c>
      <c r="E406" s="14" t="str">
        <f aca="false">IF(A406="","",SUMIFS(Transactions!$C:$C,Transactions!$A:$A,"&lt;="&amp;A406,Transactions!$B:$B,Settings!$B$1)+SUMIFS(Transactions!$F:$F,Transactions!$A:$A,"&lt;="&amp;A406,Transactions!$B:$B,Settings!$B$1))</f>
        <v/>
      </c>
      <c r="F406" s="14" t="str">
        <f aca="false">IF(A406="","",IF(C406="","",D406*B406*C406))</f>
        <v/>
      </c>
      <c r="G406" s="14" t="str">
        <f aca="false">IF(F406="","",F406-E406)</f>
        <v/>
      </c>
      <c r="H406" s="14" t="str">
        <f aca="false">IF(F406="","",IFERROR(F406-F405-(E406-E405),0))</f>
        <v/>
      </c>
    </row>
    <row r="407" customFormat="false" ht="15" hidden="false" customHeight="false" outlineLevel="0" collapsed="false">
      <c r="A407" s="13" t="str">
        <f aca="false">IF(Prices!A407="","",Prices!A407)</f>
        <v/>
      </c>
      <c r="B407" s="14" t="str">
        <f aca="false">IF(A407="","",Prices!C407)</f>
        <v/>
      </c>
      <c r="C407" s="15" t="str">
        <f aca="false">IF(A407="","",IFERROR(INDEX(FX!$B:$B,MATCH(A407,FX!$A:$A,1)),""))</f>
        <v/>
      </c>
      <c r="D407" s="14" t="str">
        <f aca="false">IF(A407="","",SUMIFS(Transactions!$D:$D,Transactions!$A:$A,"&lt;="&amp;A407,Transactions!$B:$B,Settings!$B$1))</f>
        <v/>
      </c>
      <c r="E407" s="14" t="str">
        <f aca="false">IF(A407="","",SUMIFS(Transactions!$C:$C,Transactions!$A:$A,"&lt;="&amp;A407,Transactions!$B:$B,Settings!$B$1)+SUMIFS(Transactions!$F:$F,Transactions!$A:$A,"&lt;="&amp;A407,Transactions!$B:$B,Settings!$B$1))</f>
        <v/>
      </c>
      <c r="F407" s="14" t="str">
        <f aca="false">IF(A407="","",IF(C407="","",D407*B407*C407))</f>
        <v/>
      </c>
      <c r="G407" s="14" t="str">
        <f aca="false">IF(F407="","",F407-E407)</f>
        <v/>
      </c>
      <c r="H407" s="14" t="str">
        <f aca="false">IF(F407="","",IFERROR(F407-F406-(E407-E406),0))</f>
        <v/>
      </c>
    </row>
    <row r="408" customFormat="false" ht="15" hidden="false" customHeight="false" outlineLevel="0" collapsed="false">
      <c r="A408" s="13" t="str">
        <f aca="false">IF(Prices!A408="","",Prices!A408)</f>
        <v/>
      </c>
      <c r="B408" s="14" t="str">
        <f aca="false">IF(A408="","",Prices!C408)</f>
        <v/>
      </c>
      <c r="C408" s="15" t="str">
        <f aca="false">IF(A408="","",IFERROR(INDEX(FX!$B:$B,MATCH(A408,FX!$A:$A,1)),""))</f>
        <v/>
      </c>
      <c r="D408" s="14" t="str">
        <f aca="false">IF(A408="","",SUMIFS(Transactions!$D:$D,Transactions!$A:$A,"&lt;="&amp;A408,Transactions!$B:$B,Settings!$B$1))</f>
        <v/>
      </c>
      <c r="E408" s="14" t="str">
        <f aca="false">IF(A408="","",SUMIFS(Transactions!$C:$C,Transactions!$A:$A,"&lt;="&amp;A408,Transactions!$B:$B,Settings!$B$1)+SUMIFS(Transactions!$F:$F,Transactions!$A:$A,"&lt;="&amp;A408,Transactions!$B:$B,Settings!$B$1))</f>
        <v/>
      </c>
      <c r="F408" s="14" t="str">
        <f aca="false">IF(A408="","",IF(C408="","",D408*B408*C408))</f>
        <v/>
      </c>
      <c r="G408" s="14" t="str">
        <f aca="false">IF(F408="","",F408-E408)</f>
        <v/>
      </c>
      <c r="H408" s="14" t="str">
        <f aca="false">IF(F408="","",IFERROR(F408-F407-(E408-E407),0))</f>
        <v/>
      </c>
    </row>
    <row r="409" customFormat="false" ht="15" hidden="false" customHeight="false" outlineLevel="0" collapsed="false">
      <c r="A409" s="13" t="str">
        <f aca="false">IF(Prices!A409="","",Prices!A409)</f>
        <v/>
      </c>
      <c r="B409" s="14" t="str">
        <f aca="false">IF(A409="","",Prices!C409)</f>
        <v/>
      </c>
      <c r="C409" s="15" t="str">
        <f aca="false">IF(A409="","",IFERROR(INDEX(FX!$B:$B,MATCH(A409,FX!$A:$A,1)),""))</f>
        <v/>
      </c>
      <c r="D409" s="14" t="str">
        <f aca="false">IF(A409="","",SUMIFS(Transactions!$D:$D,Transactions!$A:$A,"&lt;="&amp;A409,Transactions!$B:$B,Settings!$B$1))</f>
        <v/>
      </c>
      <c r="E409" s="14" t="str">
        <f aca="false">IF(A409="","",SUMIFS(Transactions!$C:$C,Transactions!$A:$A,"&lt;="&amp;A409,Transactions!$B:$B,Settings!$B$1)+SUMIFS(Transactions!$F:$F,Transactions!$A:$A,"&lt;="&amp;A409,Transactions!$B:$B,Settings!$B$1))</f>
        <v/>
      </c>
      <c r="F409" s="14" t="str">
        <f aca="false">IF(A409="","",IF(C409="","",D409*B409*C409))</f>
        <v/>
      </c>
      <c r="G409" s="14" t="str">
        <f aca="false">IF(F409="","",F409-E409)</f>
        <v/>
      </c>
      <c r="H409" s="14" t="str">
        <f aca="false">IF(F409="","",IFERROR(F409-F408-(E409-E408),0))</f>
        <v/>
      </c>
    </row>
    <row r="410" customFormat="false" ht="15" hidden="false" customHeight="false" outlineLevel="0" collapsed="false">
      <c r="A410" s="13" t="str">
        <f aca="false">IF(Prices!A410="","",Prices!A410)</f>
        <v/>
      </c>
      <c r="B410" s="14" t="str">
        <f aca="false">IF(A410="","",Prices!C410)</f>
        <v/>
      </c>
      <c r="C410" s="15" t="str">
        <f aca="false">IF(A410="","",IFERROR(INDEX(FX!$B:$B,MATCH(A410,FX!$A:$A,1)),""))</f>
        <v/>
      </c>
      <c r="D410" s="14" t="str">
        <f aca="false">IF(A410="","",SUMIFS(Transactions!$D:$D,Transactions!$A:$A,"&lt;="&amp;A410,Transactions!$B:$B,Settings!$B$1))</f>
        <v/>
      </c>
      <c r="E410" s="14" t="str">
        <f aca="false">IF(A410="","",SUMIFS(Transactions!$C:$C,Transactions!$A:$A,"&lt;="&amp;A410,Transactions!$B:$B,Settings!$B$1)+SUMIFS(Transactions!$F:$F,Transactions!$A:$A,"&lt;="&amp;A410,Transactions!$B:$B,Settings!$B$1))</f>
        <v/>
      </c>
      <c r="F410" s="14" t="str">
        <f aca="false">IF(A410="","",IF(C410="","",D410*B410*C410))</f>
        <v/>
      </c>
      <c r="G410" s="14" t="str">
        <f aca="false">IF(F410="","",F410-E410)</f>
        <v/>
      </c>
      <c r="H410" s="14" t="str">
        <f aca="false">IF(F410="","",IFERROR(F410-F409-(E410-E409),0))</f>
        <v/>
      </c>
    </row>
    <row r="411" customFormat="false" ht="15" hidden="false" customHeight="false" outlineLevel="0" collapsed="false">
      <c r="A411" s="13" t="str">
        <f aca="false">IF(Prices!A411="","",Prices!A411)</f>
        <v/>
      </c>
      <c r="B411" s="14" t="str">
        <f aca="false">IF(A411="","",Prices!C411)</f>
        <v/>
      </c>
      <c r="C411" s="15" t="str">
        <f aca="false">IF(A411="","",IFERROR(INDEX(FX!$B:$B,MATCH(A411,FX!$A:$A,1)),""))</f>
        <v/>
      </c>
      <c r="D411" s="14" t="str">
        <f aca="false">IF(A411="","",SUMIFS(Transactions!$D:$D,Transactions!$A:$A,"&lt;="&amp;A411,Transactions!$B:$B,Settings!$B$1))</f>
        <v/>
      </c>
      <c r="E411" s="14" t="str">
        <f aca="false">IF(A411="","",SUMIFS(Transactions!$C:$C,Transactions!$A:$A,"&lt;="&amp;A411,Transactions!$B:$B,Settings!$B$1)+SUMIFS(Transactions!$F:$F,Transactions!$A:$A,"&lt;="&amp;A411,Transactions!$B:$B,Settings!$B$1))</f>
        <v/>
      </c>
      <c r="F411" s="14" t="str">
        <f aca="false">IF(A411="","",IF(C411="","",D411*B411*C411))</f>
        <v/>
      </c>
      <c r="G411" s="14" t="str">
        <f aca="false">IF(F411="","",F411-E411)</f>
        <v/>
      </c>
      <c r="H411" s="14" t="str">
        <f aca="false">IF(F411="","",IFERROR(F411-F410-(E411-E410),0))</f>
        <v/>
      </c>
    </row>
    <row r="412" customFormat="false" ht="15" hidden="false" customHeight="false" outlineLevel="0" collapsed="false">
      <c r="A412" s="13" t="str">
        <f aca="false">IF(Prices!A412="","",Prices!A412)</f>
        <v/>
      </c>
      <c r="B412" s="14" t="str">
        <f aca="false">IF(A412="","",Prices!C412)</f>
        <v/>
      </c>
      <c r="C412" s="15" t="str">
        <f aca="false">IF(A412="","",IFERROR(INDEX(FX!$B:$B,MATCH(A412,FX!$A:$A,1)),""))</f>
        <v/>
      </c>
      <c r="D412" s="14" t="str">
        <f aca="false">IF(A412="","",SUMIFS(Transactions!$D:$D,Transactions!$A:$A,"&lt;="&amp;A412,Transactions!$B:$B,Settings!$B$1))</f>
        <v/>
      </c>
      <c r="E412" s="14" t="str">
        <f aca="false">IF(A412="","",SUMIFS(Transactions!$C:$C,Transactions!$A:$A,"&lt;="&amp;A412,Transactions!$B:$B,Settings!$B$1)+SUMIFS(Transactions!$F:$F,Transactions!$A:$A,"&lt;="&amp;A412,Transactions!$B:$B,Settings!$B$1))</f>
        <v/>
      </c>
      <c r="F412" s="14" t="str">
        <f aca="false">IF(A412="","",IF(C412="","",D412*B412*C412))</f>
        <v/>
      </c>
      <c r="G412" s="14" t="str">
        <f aca="false">IF(F412="","",F412-E412)</f>
        <v/>
      </c>
      <c r="H412" s="14" t="str">
        <f aca="false">IF(F412="","",IFERROR(F412-F411-(E412-E411),0))</f>
        <v/>
      </c>
    </row>
    <row r="413" customFormat="false" ht="15" hidden="false" customHeight="false" outlineLevel="0" collapsed="false">
      <c r="A413" s="13" t="str">
        <f aca="false">IF(Prices!A413="","",Prices!A413)</f>
        <v/>
      </c>
      <c r="B413" s="14" t="str">
        <f aca="false">IF(A413="","",Prices!C413)</f>
        <v/>
      </c>
      <c r="C413" s="15" t="str">
        <f aca="false">IF(A413="","",IFERROR(INDEX(FX!$B:$B,MATCH(A413,FX!$A:$A,1)),""))</f>
        <v/>
      </c>
      <c r="D413" s="14" t="str">
        <f aca="false">IF(A413="","",SUMIFS(Transactions!$D:$D,Transactions!$A:$A,"&lt;="&amp;A413,Transactions!$B:$B,Settings!$B$1))</f>
        <v/>
      </c>
      <c r="E413" s="14" t="str">
        <f aca="false">IF(A413="","",SUMIFS(Transactions!$C:$C,Transactions!$A:$A,"&lt;="&amp;A413,Transactions!$B:$B,Settings!$B$1)+SUMIFS(Transactions!$F:$F,Transactions!$A:$A,"&lt;="&amp;A413,Transactions!$B:$B,Settings!$B$1))</f>
        <v/>
      </c>
      <c r="F413" s="14" t="str">
        <f aca="false">IF(A413="","",IF(C413="","",D413*B413*C413))</f>
        <v/>
      </c>
      <c r="G413" s="14" t="str">
        <f aca="false">IF(F413="","",F413-E413)</f>
        <v/>
      </c>
      <c r="H413" s="14" t="str">
        <f aca="false">IF(F413="","",IFERROR(F413-F412-(E413-E412),0))</f>
        <v/>
      </c>
    </row>
    <row r="414" customFormat="false" ht="15" hidden="false" customHeight="false" outlineLevel="0" collapsed="false">
      <c r="A414" s="13" t="str">
        <f aca="false">IF(Prices!A414="","",Prices!A414)</f>
        <v/>
      </c>
      <c r="B414" s="14" t="str">
        <f aca="false">IF(A414="","",Prices!C414)</f>
        <v/>
      </c>
      <c r="C414" s="15" t="str">
        <f aca="false">IF(A414="","",IFERROR(INDEX(FX!$B:$B,MATCH(A414,FX!$A:$A,1)),""))</f>
        <v/>
      </c>
      <c r="D414" s="14" t="str">
        <f aca="false">IF(A414="","",SUMIFS(Transactions!$D:$D,Transactions!$A:$A,"&lt;="&amp;A414,Transactions!$B:$B,Settings!$B$1))</f>
        <v/>
      </c>
      <c r="E414" s="14" t="str">
        <f aca="false">IF(A414="","",SUMIFS(Transactions!$C:$C,Transactions!$A:$A,"&lt;="&amp;A414,Transactions!$B:$B,Settings!$B$1)+SUMIFS(Transactions!$F:$F,Transactions!$A:$A,"&lt;="&amp;A414,Transactions!$B:$B,Settings!$B$1))</f>
        <v/>
      </c>
      <c r="F414" s="14" t="str">
        <f aca="false">IF(A414="","",IF(C414="","",D414*B414*C414))</f>
        <v/>
      </c>
      <c r="G414" s="14" t="str">
        <f aca="false">IF(F414="","",F414-E414)</f>
        <v/>
      </c>
      <c r="H414" s="14" t="str">
        <f aca="false">IF(F414="","",IFERROR(F414-F413-(E414-E413),0))</f>
        <v/>
      </c>
    </row>
    <row r="415" customFormat="false" ht="15" hidden="false" customHeight="false" outlineLevel="0" collapsed="false">
      <c r="A415" s="13" t="str">
        <f aca="false">IF(Prices!A415="","",Prices!A415)</f>
        <v/>
      </c>
      <c r="B415" s="14" t="str">
        <f aca="false">IF(A415="","",Prices!C415)</f>
        <v/>
      </c>
      <c r="C415" s="15" t="str">
        <f aca="false">IF(A415="","",IFERROR(INDEX(FX!$B:$B,MATCH(A415,FX!$A:$A,1)),""))</f>
        <v/>
      </c>
      <c r="D415" s="14" t="str">
        <f aca="false">IF(A415="","",SUMIFS(Transactions!$D:$D,Transactions!$A:$A,"&lt;="&amp;A415,Transactions!$B:$B,Settings!$B$1))</f>
        <v/>
      </c>
      <c r="E415" s="14" t="str">
        <f aca="false">IF(A415="","",SUMIFS(Transactions!$C:$C,Transactions!$A:$A,"&lt;="&amp;A415,Transactions!$B:$B,Settings!$B$1)+SUMIFS(Transactions!$F:$F,Transactions!$A:$A,"&lt;="&amp;A415,Transactions!$B:$B,Settings!$B$1))</f>
        <v/>
      </c>
      <c r="F415" s="14" t="str">
        <f aca="false">IF(A415="","",IF(C415="","",D415*B415*C415))</f>
        <v/>
      </c>
      <c r="G415" s="14" t="str">
        <f aca="false">IF(F415="","",F415-E415)</f>
        <v/>
      </c>
      <c r="H415" s="14" t="str">
        <f aca="false">IF(F415="","",IFERROR(F415-F414-(E415-E414),0))</f>
        <v/>
      </c>
    </row>
    <row r="416" customFormat="false" ht="15" hidden="false" customHeight="false" outlineLevel="0" collapsed="false">
      <c r="A416" s="13" t="str">
        <f aca="false">IF(Prices!A416="","",Prices!A416)</f>
        <v/>
      </c>
      <c r="B416" s="14" t="str">
        <f aca="false">IF(A416="","",Prices!C416)</f>
        <v/>
      </c>
      <c r="C416" s="15" t="str">
        <f aca="false">IF(A416="","",IFERROR(INDEX(FX!$B:$B,MATCH(A416,FX!$A:$A,1)),""))</f>
        <v/>
      </c>
      <c r="D416" s="14" t="str">
        <f aca="false">IF(A416="","",SUMIFS(Transactions!$D:$D,Transactions!$A:$A,"&lt;="&amp;A416,Transactions!$B:$B,Settings!$B$1))</f>
        <v/>
      </c>
      <c r="E416" s="14" t="str">
        <f aca="false">IF(A416="","",SUMIFS(Transactions!$C:$C,Transactions!$A:$A,"&lt;="&amp;A416,Transactions!$B:$B,Settings!$B$1)+SUMIFS(Transactions!$F:$F,Transactions!$A:$A,"&lt;="&amp;A416,Transactions!$B:$B,Settings!$B$1))</f>
        <v/>
      </c>
      <c r="F416" s="14" t="str">
        <f aca="false">IF(A416="","",IF(C416="","",D416*B416*C416))</f>
        <v/>
      </c>
      <c r="G416" s="14" t="str">
        <f aca="false">IF(F416="","",F416-E416)</f>
        <v/>
      </c>
      <c r="H416" s="14" t="str">
        <f aca="false">IF(F416="","",IFERROR(F416-F415-(E416-E415),0))</f>
        <v/>
      </c>
    </row>
    <row r="417" customFormat="false" ht="15" hidden="false" customHeight="false" outlineLevel="0" collapsed="false">
      <c r="A417" s="13" t="str">
        <f aca="false">IF(Prices!A417="","",Prices!A417)</f>
        <v/>
      </c>
      <c r="B417" s="14" t="str">
        <f aca="false">IF(A417="","",Prices!C417)</f>
        <v/>
      </c>
      <c r="C417" s="15" t="str">
        <f aca="false">IF(A417="","",IFERROR(INDEX(FX!$B:$B,MATCH(A417,FX!$A:$A,1)),""))</f>
        <v/>
      </c>
      <c r="D417" s="14" t="str">
        <f aca="false">IF(A417="","",SUMIFS(Transactions!$D:$D,Transactions!$A:$A,"&lt;="&amp;A417,Transactions!$B:$B,Settings!$B$1))</f>
        <v/>
      </c>
      <c r="E417" s="14" t="str">
        <f aca="false">IF(A417="","",SUMIFS(Transactions!$C:$C,Transactions!$A:$A,"&lt;="&amp;A417,Transactions!$B:$B,Settings!$B$1)+SUMIFS(Transactions!$F:$F,Transactions!$A:$A,"&lt;="&amp;A417,Transactions!$B:$B,Settings!$B$1))</f>
        <v/>
      </c>
      <c r="F417" s="14" t="str">
        <f aca="false">IF(A417="","",IF(C417="","",D417*B417*C417))</f>
        <v/>
      </c>
      <c r="G417" s="14" t="str">
        <f aca="false">IF(F417="","",F417-E417)</f>
        <v/>
      </c>
      <c r="H417" s="14" t="str">
        <f aca="false">IF(F417="","",IFERROR(F417-F416-(E417-E416),0))</f>
        <v/>
      </c>
    </row>
    <row r="418" customFormat="false" ht="15" hidden="false" customHeight="false" outlineLevel="0" collapsed="false">
      <c r="A418" s="13" t="str">
        <f aca="false">IF(Prices!A418="","",Prices!A418)</f>
        <v/>
      </c>
      <c r="B418" s="14" t="str">
        <f aca="false">IF(A418="","",Prices!C418)</f>
        <v/>
      </c>
      <c r="C418" s="15" t="str">
        <f aca="false">IF(A418="","",IFERROR(INDEX(FX!$B:$B,MATCH(A418,FX!$A:$A,1)),""))</f>
        <v/>
      </c>
      <c r="D418" s="14" t="str">
        <f aca="false">IF(A418="","",SUMIFS(Transactions!$D:$D,Transactions!$A:$A,"&lt;="&amp;A418,Transactions!$B:$B,Settings!$B$1))</f>
        <v/>
      </c>
      <c r="E418" s="14" t="str">
        <f aca="false">IF(A418="","",SUMIFS(Transactions!$C:$C,Transactions!$A:$A,"&lt;="&amp;A418,Transactions!$B:$B,Settings!$B$1)+SUMIFS(Transactions!$F:$F,Transactions!$A:$A,"&lt;="&amp;A418,Transactions!$B:$B,Settings!$B$1))</f>
        <v/>
      </c>
      <c r="F418" s="14" t="str">
        <f aca="false">IF(A418="","",IF(C418="","",D418*B418*C418))</f>
        <v/>
      </c>
      <c r="G418" s="14" t="str">
        <f aca="false">IF(F418="","",F418-E418)</f>
        <v/>
      </c>
      <c r="H418" s="14" t="str">
        <f aca="false">IF(F418="","",IFERROR(F418-F417-(E418-E417),0))</f>
        <v/>
      </c>
    </row>
    <row r="419" customFormat="false" ht="15" hidden="false" customHeight="false" outlineLevel="0" collapsed="false">
      <c r="A419" s="13" t="str">
        <f aca="false">IF(Prices!A419="","",Prices!A419)</f>
        <v/>
      </c>
      <c r="B419" s="14" t="str">
        <f aca="false">IF(A419="","",Prices!C419)</f>
        <v/>
      </c>
      <c r="C419" s="15" t="str">
        <f aca="false">IF(A419="","",IFERROR(INDEX(FX!$B:$B,MATCH(A419,FX!$A:$A,1)),""))</f>
        <v/>
      </c>
      <c r="D419" s="14" t="str">
        <f aca="false">IF(A419="","",SUMIFS(Transactions!$D:$D,Transactions!$A:$A,"&lt;="&amp;A419,Transactions!$B:$B,Settings!$B$1))</f>
        <v/>
      </c>
      <c r="E419" s="14" t="str">
        <f aca="false">IF(A419="","",SUMIFS(Transactions!$C:$C,Transactions!$A:$A,"&lt;="&amp;A419,Transactions!$B:$B,Settings!$B$1)+SUMIFS(Transactions!$F:$F,Transactions!$A:$A,"&lt;="&amp;A419,Transactions!$B:$B,Settings!$B$1))</f>
        <v/>
      </c>
      <c r="F419" s="14" t="str">
        <f aca="false">IF(A419="","",IF(C419="","",D419*B419*C419))</f>
        <v/>
      </c>
      <c r="G419" s="14" t="str">
        <f aca="false">IF(F419="","",F419-E419)</f>
        <v/>
      </c>
      <c r="H419" s="14" t="str">
        <f aca="false">IF(F419="","",IFERROR(F419-F418-(E419-E418),0))</f>
        <v/>
      </c>
    </row>
    <row r="420" customFormat="false" ht="15" hidden="false" customHeight="false" outlineLevel="0" collapsed="false">
      <c r="A420" s="13" t="str">
        <f aca="false">IF(Prices!A420="","",Prices!A420)</f>
        <v/>
      </c>
      <c r="B420" s="14" t="str">
        <f aca="false">IF(A420="","",Prices!C420)</f>
        <v/>
      </c>
      <c r="C420" s="15" t="str">
        <f aca="false">IF(A420="","",IFERROR(INDEX(FX!$B:$B,MATCH(A420,FX!$A:$A,1)),""))</f>
        <v/>
      </c>
      <c r="D420" s="14" t="str">
        <f aca="false">IF(A420="","",SUMIFS(Transactions!$D:$D,Transactions!$A:$A,"&lt;="&amp;A420,Transactions!$B:$B,Settings!$B$1))</f>
        <v/>
      </c>
      <c r="E420" s="14" t="str">
        <f aca="false">IF(A420="","",SUMIFS(Transactions!$C:$C,Transactions!$A:$A,"&lt;="&amp;A420,Transactions!$B:$B,Settings!$B$1)+SUMIFS(Transactions!$F:$F,Transactions!$A:$A,"&lt;="&amp;A420,Transactions!$B:$B,Settings!$B$1))</f>
        <v/>
      </c>
      <c r="F420" s="14" t="str">
        <f aca="false">IF(A420="","",IF(C420="","",D420*B420*C420))</f>
        <v/>
      </c>
      <c r="G420" s="14" t="str">
        <f aca="false">IF(F420="","",F420-E420)</f>
        <v/>
      </c>
      <c r="H420" s="14" t="str">
        <f aca="false">IF(F420="","",IFERROR(F420-F419-(E420-E419),0))</f>
        <v/>
      </c>
    </row>
    <row r="421" customFormat="false" ht="15" hidden="false" customHeight="false" outlineLevel="0" collapsed="false">
      <c r="A421" s="13" t="str">
        <f aca="false">IF(Prices!A421="","",Prices!A421)</f>
        <v/>
      </c>
      <c r="B421" s="14" t="str">
        <f aca="false">IF(A421="","",Prices!C421)</f>
        <v/>
      </c>
      <c r="C421" s="15" t="str">
        <f aca="false">IF(A421="","",IFERROR(INDEX(FX!$B:$B,MATCH(A421,FX!$A:$A,1)),""))</f>
        <v/>
      </c>
      <c r="D421" s="14" t="str">
        <f aca="false">IF(A421="","",SUMIFS(Transactions!$D:$D,Transactions!$A:$A,"&lt;="&amp;A421,Transactions!$B:$B,Settings!$B$1))</f>
        <v/>
      </c>
      <c r="E421" s="14" t="str">
        <f aca="false">IF(A421="","",SUMIFS(Transactions!$C:$C,Transactions!$A:$A,"&lt;="&amp;A421,Transactions!$B:$B,Settings!$B$1)+SUMIFS(Transactions!$F:$F,Transactions!$A:$A,"&lt;="&amp;A421,Transactions!$B:$B,Settings!$B$1))</f>
        <v/>
      </c>
      <c r="F421" s="14" t="str">
        <f aca="false">IF(A421="","",IF(C421="","",D421*B421*C421))</f>
        <v/>
      </c>
      <c r="G421" s="14" t="str">
        <f aca="false">IF(F421="","",F421-E421)</f>
        <v/>
      </c>
      <c r="H421" s="14" t="str">
        <f aca="false">IF(F421="","",IFERROR(F421-F420-(E421-E420),0))</f>
        <v/>
      </c>
    </row>
    <row r="422" customFormat="false" ht="15" hidden="false" customHeight="false" outlineLevel="0" collapsed="false">
      <c r="A422" s="13" t="str">
        <f aca="false">IF(Prices!A422="","",Prices!A422)</f>
        <v/>
      </c>
      <c r="B422" s="14" t="str">
        <f aca="false">IF(A422="","",Prices!C422)</f>
        <v/>
      </c>
      <c r="C422" s="15" t="str">
        <f aca="false">IF(A422="","",IFERROR(INDEX(FX!$B:$B,MATCH(A422,FX!$A:$A,1)),""))</f>
        <v/>
      </c>
      <c r="D422" s="14" t="str">
        <f aca="false">IF(A422="","",SUMIFS(Transactions!$D:$D,Transactions!$A:$A,"&lt;="&amp;A422,Transactions!$B:$B,Settings!$B$1))</f>
        <v/>
      </c>
      <c r="E422" s="14" t="str">
        <f aca="false">IF(A422="","",SUMIFS(Transactions!$C:$C,Transactions!$A:$A,"&lt;="&amp;A422,Transactions!$B:$B,Settings!$B$1)+SUMIFS(Transactions!$F:$F,Transactions!$A:$A,"&lt;="&amp;A422,Transactions!$B:$B,Settings!$B$1))</f>
        <v/>
      </c>
      <c r="F422" s="14" t="str">
        <f aca="false">IF(A422="","",IF(C422="","",D422*B422*C422))</f>
        <v/>
      </c>
      <c r="G422" s="14" t="str">
        <f aca="false">IF(F422="","",F422-E422)</f>
        <v/>
      </c>
      <c r="H422" s="14" t="str">
        <f aca="false">IF(F422="","",IFERROR(F422-F421-(E422-E421),0))</f>
        <v/>
      </c>
    </row>
    <row r="423" customFormat="false" ht="15" hidden="false" customHeight="false" outlineLevel="0" collapsed="false">
      <c r="A423" s="13" t="str">
        <f aca="false">IF(Prices!A423="","",Prices!A423)</f>
        <v/>
      </c>
      <c r="B423" s="14" t="str">
        <f aca="false">IF(A423="","",Prices!C423)</f>
        <v/>
      </c>
      <c r="C423" s="15" t="str">
        <f aca="false">IF(A423="","",IFERROR(INDEX(FX!$B:$B,MATCH(A423,FX!$A:$A,1)),""))</f>
        <v/>
      </c>
      <c r="D423" s="14" t="str">
        <f aca="false">IF(A423="","",SUMIFS(Transactions!$D:$D,Transactions!$A:$A,"&lt;="&amp;A423,Transactions!$B:$B,Settings!$B$1))</f>
        <v/>
      </c>
      <c r="E423" s="14" t="str">
        <f aca="false">IF(A423="","",SUMIFS(Transactions!$C:$C,Transactions!$A:$A,"&lt;="&amp;A423,Transactions!$B:$B,Settings!$B$1)+SUMIFS(Transactions!$F:$F,Transactions!$A:$A,"&lt;="&amp;A423,Transactions!$B:$B,Settings!$B$1))</f>
        <v/>
      </c>
      <c r="F423" s="14" t="str">
        <f aca="false">IF(A423="","",IF(C423="","",D423*B423*C423))</f>
        <v/>
      </c>
      <c r="G423" s="14" t="str">
        <f aca="false">IF(F423="","",F423-E423)</f>
        <v/>
      </c>
      <c r="H423" s="14" t="str">
        <f aca="false">IF(F423="","",IFERROR(F423-F422-(E423-E422),0))</f>
        <v/>
      </c>
    </row>
    <row r="424" customFormat="false" ht="15" hidden="false" customHeight="false" outlineLevel="0" collapsed="false">
      <c r="A424" s="13" t="str">
        <f aca="false">IF(Prices!A424="","",Prices!A424)</f>
        <v/>
      </c>
      <c r="B424" s="14" t="str">
        <f aca="false">IF(A424="","",Prices!C424)</f>
        <v/>
      </c>
      <c r="C424" s="15" t="str">
        <f aca="false">IF(A424="","",IFERROR(INDEX(FX!$B:$B,MATCH(A424,FX!$A:$A,1)),""))</f>
        <v/>
      </c>
      <c r="D424" s="14" t="str">
        <f aca="false">IF(A424="","",SUMIFS(Transactions!$D:$D,Transactions!$A:$A,"&lt;="&amp;A424,Transactions!$B:$B,Settings!$B$1))</f>
        <v/>
      </c>
      <c r="E424" s="14" t="str">
        <f aca="false">IF(A424="","",SUMIFS(Transactions!$C:$C,Transactions!$A:$A,"&lt;="&amp;A424,Transactions!$B:$B,Settings!$B$1)+SUMIFS(Transactions!$F:$F,Transactions!$A:$A,"&lt;="&amp;A424,Transactions!$B:$B,Settings!$B$1))</f>
        <v/>
      </c>
      <c r="F424" s="14" t="str">
        <f aca="false">IF(A424="","",IF(C424="","",D424*B424*C424))</f>
        <v/>
      </c>
      <c r="G424" s="14" t="str">
        <f aca="false">IF(F424="","",F424-E424)</f>
        <v/>
      </c>
      <c r="H424" s="14" t="str">
        <f aca="false">IF(F424="","",IFERROR(F424-F423-(E424-E423),0))</f>
        <v/>
      </c>
    </row>
    <row r="425" customFormat="false" ht="15" hidden="false" customHeight="false" outlineLevel="0" collapsed="false">
      <c r="A425" s="13" t="str">
        <f aca="false">IF(Prices!A425="","",Prices!A425)</f>
        <v/>
      </c>
      <c r="B425" s="14" t="str">
        <f aca="false">IF(A425="","",Prices!C425)</f>
        <v/>
      </c>
      <c r="C425" s="15" t="str">
        <f aca="false">IF(A425="","",IFERROR(INDEX(FX!$B:$B,MATCH(A425,FX!$A:$A,1)),""))</f>
        <v/>
      </c>
      <c r="D425" s="14" t="str">
        <f aca="false">IF(A425="","",SUMIFS(Transactions!$D:$D,Transactions!$A:$A,"&lt;="&amp;A425,Transactions!$B:$B,Settings!$B$1))</f>
        <v/>
      </c>
      <c r="E425" s="14" t="str">
        <f aca="false">IF(A425="","",SUMIFS(Transactions!$C:$C,Transactions!$A:$A,"&lt;="&amp;A425,Transactions!$B:$B,Settings!$B$1)+SUMIFS(Transactions!$F:$F,Transactions!$A:$A,"&lt;="&amp;A425,Transactions!$B:$B,Settings!$B$1))</f>
        <v/>
      </c>
      <c r="F425" s="14" t="str">
        <f aca="false">IF(A425="","",IF(C425="","",D425*B425*C425))</f>
        <v/>
      </c>
      <c r="G425" s="14" t="str">
        <f aca="false">IF(F425="","",F425-E425)</f>
        <v/>
      </c>
      <c r="H425" s="14" t="str">
        <f aca="false">IF(F425="","",IFERROR(F425-F424-(E425-E424),0))</f>
        <v/>
      </c>
    </row>
    <row r="426" customFormat="false" ht="15" hidden="false" customHeight="false" outlineLevel="0" collapsed="false">
      <c r="A426" s="13" t="str">
        <f aca="false">IF(Prices!A426="","",Prices!A426)</f>
        <v/>
      </c>
      <c r="B426" s="14" t="str">
        <f aca="false">IF(A426="","",Prices!C426)</f>
        <v/>
      </c>
      <c r="C426" s="15" t="str">
        <f aca="false">IF(A426="","",IFERROR(INDEX(FX!$B:$B,MATCH(A426,FX!$A:$A,1)),""))</f>
        <v/>
      </c>
      <c r="D426" s="14" t="str">
        <f aca="false">IF(A426="","",SUMIFS(Transactions!$D:$D,Transactions!$A:$A,"&lt;="&amp;A426,Transactions!$B:$B,Settings!$B$1))</f>
        <v/>
      </c>
      <c r="E426" s="14" t="str">
        <f aca="false">IF(A426="","",SUMIFS(Transactions!$C:$C,Transactions!$A:$A,"&lt;="&amp;A426,Transactions!$B:$B,Settings!$B$1)+SUMIFS(Transactions!$F:$F,Transactions!$A:$A,"&lt;="&amp;A426,Transactions!$B:$B,Settings!$B$1))</f>
        <v/>
      </c>
      <c r="F426" s="14" t="str">
        <f aca="false">IF(A426="","",IF(C426="","",D426*B426*C426))</f>
        <v/>
      </c>
      <c r="G426" s="14" t="str">
        <f aca="false">IF(F426="","",F426-E426)</f>
        <v/>
      </c>
      <c r="H426" s="14" t="str">
        <f aca="false">IF(F426="","",IFERROR(F426-F425-(E426-E425),0))</f>
        <v/>
      </c>
    </row>
    <row r="427" customFormat="false" ht="15" hidden="false" customHeight="false" outlineLevel="0" collapsed="false">
      <c r="A427" s="13" t="str">
        <f aca="false">IF(Prices!A427="","",Prices!A427)</f>
        <v/>
      </c>
      <c r="B427" s="14" t="str">
        <f aca="false">IF(A427="","",Prices!C427)</f>
        <v/>
      </c>
      <c r="C427" s="15" t="str">
        <f aca="false">IF(A427="","",IFERROR(INDEX(FX!$B:$B,MATCH(A427,FX!$A:$A,1)),""))</f>
        <v/>
      </c>
      <c r="D427" s="14" t="str">
        <f aca="false">IF(A427="","",SUMIFS(Transactions!$D:$D,Transactions!$A:$A,"&lt;="&amp;A427,Transactions!$B:$B,Settings!$B$1))</f>
        <v/>
      </c>
      <c r="E427" s="14" t="str">
        <f aca="false">IF(A427="","",SUMIFS(Transactions!$C:$C,Transactions!$A:$A,"&lt;="&amp;A427,Transactions!$B:$B,Settings!$B$1)+SUMIFS(Transactions!$F:$F,Transactions!$A:$A,"&lt;="&amp;A427,Transactions!$B:$B,Settings!$B$1))</f>
        <v/>
      </c>
      <c r="F427" s="14" t="str">
        <f aca="false">IF(A427="","",IF(C427="","",D427*B427*C427))</f>
        <v/>
      </c>
      <c r="G427" s="14" t="str">
        <f aca="false">IF(F427="","",F427-E427)</f>
        <v/>
      </c>
      <c r="H427" s="14" t="str">
        <f aca="false">IF(F427="","",IFERROR(F427-F426-(E427-E426),0))</f>
        <v/>
      </c>
    </row>
    <row r="428" customFormat="false" ht="15" hidden="false" customHeight="false" outlineLevel="0" collapsed="false">
      <c r="A428" s="13" t="str">
        <f aca="false">IF(Prices!A428="","",Prices!A428)</f>
        <v/>
      </c>
      <c r="B428" s="14" t="str">
        <f aca="false">IF(A428="","",Prices!C428)</f>
        <v/>
      </c>
      <c r="C428" s="15" t="str">
        <f aca="false">IF(A428="","",IFERROR(INDEX(FX!$B:$B,MATCH(A428,FX!$A:$A,1)),""))</f>
        <v/>
      </c>
      <c r="D428" s="14" t="str">
        <f aca="false">IF(A428="","",SUMIFS(Transactions!$D:$D,Transactions!$A:$A,"&lt;="&amp;A428,Transactions!$B:$B,Settings!$B$1))</f>
        <v/>
      </c>
      <c r="E428" s="14" t="str">
        <f aca="false">IF(A428="","",SUMIFS(Transactions!$C:$C,Transactions!$A:$A,"&lt;="&amp;A428,Transactions!$B:$B,Settings!$B$1)+SUMIFS(Transactions!$F:$F,Transactions!$A:$A,"&lt;="&amp;A428,Transactions!$B:$B,Settings!$B$1))</f>
        <v/>
      </c>
      <c r="F428" s="14" t="str">
        <f aca="false">IF(A428="","",IF(C428="","",D428*B428*C428))</f>
        <v/>
      </c>
      <c r="G428" s="14" t="str">
        <f aca="false">IF(F428="","",F428-E428)</f>
        <v/>
      </c>
      <c r="H428" s="14" t="str">
        <f aca="false">IF(F428="","",IFERROR(F428-F427-(E428-E427),0))</f>
        <v/>
      </c>
    </row>
    <row r="429" customFormat="false" ht="15" hidden="false" customHeight="false" outlineLevel="0" collapsed="false">
      <c r="A429" s="13" t="str">
        <f aca="false">IF(Prices!A429="","",Prices!A429)</f>
        <v/>
      </c>
      <c r="B429" s="14" t="str">
        <f aca="false">IF(A429="","",Prices!C429)</f>
        <v/>
      </c>
      <c r="C429" s="15" t="str">
        <f aca="false">IF(A429="","",IFERROR(INDEX(FX!$B:$B,MATCH(A429,FX!$A:$A,1)),""))</f>
        <v/>
      </c>
      <c r="D429" s="14" t="str">
        <f aca="false">IF(A429="","",SUMIFS(Transactions!$D:$D,Transactions!$A:$A,"&lt;="&amp;A429,Transactions!$B:$B,Settings!$B$1))</f>
        <v/>
      </c>
      <c r="E429" s="14" t="str">
        <f aca="false">IF(A429="","",SUMIFS(Transactions!$C:$C,Transactions!$A:$A,"&lt;="&amp;A429,Transactions!$B:$B,Settings!$B$1)+SUMIFS(Transactions!$F:$F,Transactions!$A:$A,"&lt;="&amp;A429,Transactions!$B:$B,Settings!$B$1))</f>
        <v/>
      </c>
      <c r="F429" s="14" t="str">
        <f aca="false">IF(A429="","",IF(C429="","",D429*B429*C429))</f>
        <v/>
      </c>
      <c r="G429" s="14" t="str">
        <f aca="false">IF(F429="","",F429-E429)</f>
        <v/>
      </c>
      <c r="H429" s="14" t="str">
        <f aca="false">IF(F429="","",IFERROR(F429-F428-(E429-E428),0))</f>
        <v/>
      </c>
    </row>
    <row r="430" customFormat="false" ht="15" hidden="false" customHeight="false" outlineLevel="0" collapsed="false">
      <c r="A430" s="13" t="str">
        <f aca="false">IF(Prices!A430="","",Prices!A430)</f>
        <v/>
      </c>
      <c r="B430" s="14" t="str">
        <f aca="false">IF(A430="","",Prices!C430)</f>
        <v/>
      </c>
      <c r="C430" s="15" t="str">
        <f aca="false">IF(A430="","",IFERROR(INDEX(FX!$B:$B,MATCH(A430,FX!$A:$A,1)),""))</f>
        <v/>
      </c>
      <c r="D430" s="14" t="str">
        <f aca="false">IF(A430="","",SUMIFS(Transactions!$D:$D,Transactions!$A:$A,"&lt;="&amp;A430,Transactions!$B:$B,Settings!$B$1))</f>
        <v/>
      </c>
      <c r="E430" s="14" t="str">
        <f aca="false">IF(A430="","",SUMIFS(Transactions!$C:$C,Transactions!$A:$A,"&lt;="&amp;A430,Transactions!$B:$B,Settings!$B$1)+SUMIFS(Transactions!$F:$F,Transactions!$A:$A,"&lt;="&amp;A430,Transactions!$B:$B,Settings!$B$1))</f>
        <v/>
      </c>
      <c r="F430" s="14" t="str">
        <f aca="false">IF(A430="","",IF(C430="","",D430*B430*C430))</f>
        <v/>
      </c>
      <c r="G430" s="14" t="str">
        <f aca="false">IF(F430="","",F430-E430)</f>
        <v/>
      </c>
      <c r="H430" s="14" t="str">
        <f aca="false">IF(F430="","",IFERROR(F430-F429-(E430-E429),0))</f>
        <v/>
      </c>
    </row>
    <row r="431" customFormat="false" ht="15" hidden="false" customHeight="false" outlineLevel="0" collapsed="false">
      <c r="A431" s="13" t="str">
        <f aca="false">IF(Prices!A431="","",Prices!A431)</f>
        <v/>
      </c>
      <c r="B431" s="14" t="str">
        <f aca="false">IF(A431="","",Prices!C431)</f>
        <v/>
      </c>
      <c r="C431" s="15" t="str">
        <f aca="false">IF(A431="","",IFERROR(INDEX(FX!$B:$B,MATCH(A431,FX!$A:$A,1)),""))</f>
        <v/>
      </c>
      <c r="D431" s="14" t="str">
        <f aca="false">IF(A431="","",SUMIFS(Transactions!$D:$D,Transactions!$A:$A,"&lt;="&amp;A431,Transactions!$B:$B,Settings!$B$1))</f>
        <v/>
      </c>
      <c r="E431" s="14" t="str">
        <f aca="false">IF(A431="","",SUMIFS(Transactions!$C:$C,Transactions!$A:$A,"&lt;="&amp;A431,Transactions!$B:$B,Settings!$B$1)+SUMIFS(Transactions!$F:$F,Transactions!$A:$A,"&lt;="&amp;A431,Transactions!$B:$B,Settings!$B$1))</f>
        <v/>
      </c>
      <c r="F431" s="14" t="str">
        <f aca="false">IF(A431="","",IF(C431="","",D431*B431*C431))</f>
        <v/>
      </c>
      <c r="G431" s="14" t="str">
        <f aca="false">IF(F431="","",F431-E431)</f>
        <v/>
      </c>
      <c r="H431" s="14" t="str">
        <f aca="false">IF(F431="","",IFERROR(F431-F430-(E431-E430),0))</f>
        <v/>
      </c>
    </row>
    <row r="432" customFormat="false" ht="15" hidden="false" customHeight="false" outlineLevel="0" collapsed="false">
      <c r="A432" s="13" t="str">
        <f aca="false">IF(Prices!A432="","",Prices!A432)</f>
        <v/>
      </c>
      <c r="B432" s="14" t="str">
        <f aca="false">IF(A432="","",Prices!C432)</f>
        <v/>
      </c>
      <c r="C432" s="15" t="str">
        <f aca="false">IF(A432="","",IFERROR(INDEX(FX!$B:$B,MATCH(A432,FX!$A:$A,1)),""))</f>
        <v/>
      </c>
      <c r="D432" s="14" t="str">
        <f aca="false">IF(A432="","",SUMIFS(Transactions!$D:$D,Transactions!$A:$A,"&lt;="&amp;A432,Transactions!$B:$B,Settings!$B$1))</f>
        <v/>
      </c>
      <c r="E432" s="14" t="str">
        <f aca="false">IF(A432="","",SUMIFS(Transactions!$C:$C,Transactions!$A:$A,"&lt;="&amp;A432,Transactions!$B:$B,Settings!$B$1)+SUMIFS(Transactions!$F:$F,Transactions!$A:$A,"&lt;="&amp;A432,Transactions!$B:$B,Settings!$B$1))</f>
        <v/>
      </c>
      <c r="F432" s="14" t="str">
        <f aca="false">IF(A432="","",IF(C432="","",D432*B432*C432))</f>
        <v/>
      </c>
      <c r="G432" s="14" t="str">
        <f aca="false">IF(F432="","",F432-E432)</f>
        <v/>
      </c>
      <c r="H432" s="14" t="str">
        <f aca="false">IF(F432="","",IFERROR(F432-F431-(E432-E431),0))</f>
        <v/>
      </c>
    </row>
    <row r="433" customFormat="false" ht="15" hidden="false" customHeight="false" outlineLevel="0" collapsed="false">
      <c r="A433" s="13" t="str">
        <f aca="false">IF(Prices!A433="","",Prices!A433)</f>
        <v/>
      </c>
      <c r="B433" s="14" t="str">
        <f aca="false">IF(A433="","",Prices!C433)</f>
        <v/>
      </c>
      <c r="C433" s="15" t="str">
        <f aca="false">IF(A433="","",IFERROR(INDEX(FX!$B:$B,MATCH(A433,FX!$A:$A,1)),""))</f>
        <v/>
      </c>
      <c r="D433" s="14" t="str">
        <f aca="false">IF(A433="","",SUMIFS(Transactions!$D:$D,Transactions!$A:$A,"&lt;="&amp;A433,Transactions!$B:$B,Settings!$B$1))</f>
        <v/>
      </c>
      <c r="E433" s="14" t="str">
        <f aca="false">IF(A433="","",SUMIFS(Transactions!$C:$C,Transactions!$A:$A,"&lt;="&amp;A433,Transactions!$B:$B,Settings!$B$1)+SUMIFS(Transactions!$F:$F,Transactions!$A:$A,"&lt;="&amp;A433,Transactions!$B:$B,Settings!$B$1))</f>
        <v/>
      </c>
      <c r="F433" s="14" t="str">
        <f aca="false">IF(A433="","",IF(C433="","",D433*B433*C433))</f>
        <v/>
      </c>
      <c r="G433" s="14" t="str">
        <f aca="false">IF(F433="","",F433-E433)</f>
        <v/>
      </c>
      <c r="H433" s="14" t="str">
        <f aca="false">IF(F433="","",IFERROR(F433-F432-(E433-E432),0))</f>
        <v/>
      </c>
    </row>
    <row r="434" customFormat="false" ht="15" hidden="false" customHeight="false" outlineLevel="0" collapsed="false">
      <c r="A434" s="13" t="str">
        <f aca="false">IF(Prices!A434="","",Prices!A434)</f>
        <v/>
      </c>
      <c r="B434" s="14" t="str">
        <f aca="false">IF(A434="","",Prices!C434)</f>
        <v/>
      </c>
      <c r="C434" s="15" t="str">
        <f aca="false">IF(A434="","",IFERROR(INDEX(FX!$B:$B,MATCH(A434,FX!$A:$A,1)),""))</f>
        <v/>
      </c>
      <c r="D434" s="14" t="str">
        <f aca="false">IF(A434="","",SUMIFS(Transactions!$D:$D,Transactions!$A:$A,"&lt;="&amp;A434,Transactions!$B:$B,Settings!$B$1))</f>
        <v/>
      </c>
      <c r="E434" s="14" t="str">
        <f aca="false">IF(A434="","",SUMIFS(Transactions!$C:$C,Transactions!$A:$A,"&lt;="&amp;A434,Transactions!$B:$B,Settings!$B$1)+SUMIFS(Transactions!$F:$F,Transactions!$A:$A,"&lt;="&amp;A434,Transactions!$B:$B,Settings!$B$1))</f>
        <v/>
      </c>
      <c r="F434" s="14" t="str">
        <f aca="false">IF(A434="","",IF(C434="","",D434*B434*C434))</f>
        <v/>
      </c>
      <c r="G434" s="14" t="str">
        <f aca="false">IF(F434="","",F434-E434)</f>
        <v/>
      </c>
      <c r="H434" s="14" t="str">
        <f aca="false">IF(F434="","",IFERROR(F434-F433-(E434-E433),0))</f>
        <v/>
      </c>
    </row>
    <row r="435" customFormat="false" ht="15" hidden="false" customHeight="false" outlineLevel="0" collapsed="false">
      <c r="A435" s="13" t="str">
        <f aca="false">IF(Prices!A435="","",Prices!A435)</f>
        <v/>
      </c>
      <c r="B435" s="14" t="str">
        <f aca="false">IF(A435="","",Prices!C435)</f>
        <v/>
      </c>
      <c r="C435" s="15" t="str">
        <f aca="false">IF(A435="","",IFERROR(INDEX(FX!$B:$B,MATCH(A435,FX!$A:$A,1)),""))</f>
        <v/>
      </c>
      <c r="D435" s="14" t="str">
        <f aca="false">IF(A435="","",SUMIFS(Transactions!$D:$D,Transactions!$A:$A,"&lt;="&amp;A435,Transactions!$B:$B,Settings!$B$1))</f>
        <v/>
      </c>
      <c r="E435" s="14" t="str">
        <f aca="false">IF(A435="","",SUMIFS(Transactions!$C:$C,Transactions!$A:$A,"&lt;="&amp;A435,Transactions!$B:$B,Settings!$B$1)+SUMIFS(Transactions!$F:$F,Transactions!$A:$A,"&lt;="&amp;A435,Transactions!$B:$B,Settings!$B$1))</f>
        <v/>
      </c>
      <c r="F435" s="14" t="str">
        <f aca="false">IF(A435="","",IF(C435="","",D435*B435*C435))</f>
        <v/>
      </c>
      <c r="G435" s="14" t="str">
        <f aca="false">IF(F435="","",F435-E435)</f>
        <v/>
      </c>
      <c r="H435" s="14" t="str">
        <f aca="false">IF(F435="","",IFERROR(F435-F434-(E435-E434),0))</f>
        <v/>
      </c>
    </row>
    <row r="436" customFormat="false" ht="15" hidden="false" customHeight="false" outlineLevel="0" collapsed="false">
      <c r="A436" s="13" t="str">
        <f aca="false">IF(Prices!A436="","",Prices!A436)</f>
        <v/>
      </c>
      <c r="B436" s="14" t="str">
        <f aca="false">IF(A436="","",Prices!C436)</f>
        <v/>
      </c>
      <c r="C436" s="15" t="str">
        <f aca="false">IF(A436="","",IFERROR(INDEX(FX!$B:$B,MATCH(A436,FX!$A:$A,1)),""))</f>
        <v/>
      </c>
      <c r="D436" s="14" t="str">
        <f aca="false">IF(A436="","",SUMIFS(Transactions!$D:$D,Transactions!$A:$A,"&lt;="&amp;A436,Transactions!$B:$B,Settings!$B$1))</f>
        <v/>
      </c>
      <c r="E436" s="14" t="str">
        <f aca="false">IF(A436="","",SUMIFS(Transactions!$C:$C,Transactions!$A:$A,"&lt;="&amp;A436,Transactions!$B:$B,Settings!$B$1)+SUMIFS(Transactions!$F:$F,Transactions!$A:$A,"&lt;="&amp;A436,Transactions!$B:$B,Settings!$B$1))</f>
        <v/>
      </c>
      <c r="F436" s="14" t="str">
        <f aca="false">IF(A436="","",IF(C436="","",D436*B436*C436))</f>
        <v/>
      </c>
      <c r="G436" s="14" t="str">
        <f aca="false">IF(F436="","",F436-E436)</f>
        <v/>
      </c>
      <c r="H436" s="14" t="str">
        <f aca="false">IF(F436="","",IFERROR(F436-F435-(E436-E435),0))</f>
        <v/>
      </c>
    </row>
    <row r="437" customFormat="false" ht="15" hidden="false" customHeight="false" outlineLevel="0" collapsed="false">
      <c r="A437" s="13" t="str">
        <f aca="false">IF(Prices!A437="","",Prices!A437)</f>
        <v/>
      </c>
      <c r="B437" s="14" t="str">
        <f aca="false">IF(A437="","",Prices!C437)</f>
        <v/>
      </c>
      <c r="C437" s="15" t="str">
        <f aca="false">IF(A437="","",IFERROR(INDEX(FX!$B:$B,MATCH(A437,FX!$A:$A,1)),""))</f>
        <v/>
      </c>
      <c r="D437" s="14" t="str">
        <f aca="false">IF(A437="","",SUMIFS(Transactions!$D:$D,Transactions!$A:$A,"&lt;="&amp;A437,Transactions!$B:$B,Settings!$B$1))</f>
        <v/>
      </c>
      <c r="E437" s="14" t="str">
        <f aca="false">IF(A437="","",SUMIFS(Transactions!$C:$C,Transactions!$A:$A,"&lt;="&amp;A437,Transactions!$B:$B,Settings!$B$1)+SUMIFS(Transactions!$F:$F,Transactions!$A:$A,"&lt;="&amp;A437,Transactions!$B:$B,Settings!$B$1))</f>
        <v/>
      </c>
      <c r="F437" s="14" t="str">
        <f aca="false">IF(A437="","",IF(C437="","",D437*B437*C437))</f>
        <v/>
      </c>
      <c r="G437" s="14" t="str">
        <f aca="false">IF(F437="","",F437-E437)</f>
        <v/>
      </c>
      <c r="H437" s="14" t="str">
        <f aca="false">IF(F437="","",IFERROR(F437-F436-(E437-E436),0))</f>
        <v/>
      </c>
    </row>
    <row r="438" customFormat="false" ht="15" hidden="false" customHeight="false" outlineLevel="0" collapsed="false">
      <c r="A438" s="13" t="str">
        <f aca="false">IF(Prices!A438="","",Prices!A438)</f>
        <v/>
      </c>
      <c r="B438" s="14" t="str">
        <f aca="false">IF(A438="","",Prices!C438)</f>
        <v/>
      </c>
      <c r="C438" s="15" t="str">
        <f aca="false">IF(A438="","",IFERROR(INDEX(FX!$B:$B,MATCH(A438,FX!$A:$A,1)),""))</f>
        <v/>
      </c>
      <c r="D438" s="14" t="str">
        <f aca="false">IF(A438="","",SUMIFS(Transactions!$D:$D,Transactions!$A:$A,"&lt;="&amp;A438,Transactions!$B:$B,Settings!$B$1))</f>
        <v/>
      </c>
      <c r="E438" s="14" t="str">
        <f aca="false">IF(A438="","",SUMIFS(Transactions!$C:$C,Transactions!$A:$A,"&lt;="&amp;A438,Transactions!$B:$B,Settings!$B$1)+SUMIFS(Transactions!$F:$F,Transactions!$A:$A,"&lt;="&amp;A438,Transactions!$B:$B,Settings!$B$1))</f>
        <v/>
      </c>
      <c r="F438" s="14" t="str">
        <f aca="false">IF(A438="","",IF(C438="","",D438*B438*C438))</f>
        <v/>
      </c>
      <c r="G438" s="14" t="str">
        <f aca="false">IF(F438="","",F438-E438)</f>
        <v/>
      </c>
      <c r="H438" s="14" t="str">
        <f aca="false">IF(F438="","",IFERROR(F438-F437-(E438-E437),0))</f>
        <v/>
      </c>
    </row>
    <row r="439" customFormat="false" ht="15" hidden="false" customHeight="false" outlineLevel="0" collapsed="false">
      <c r="A439" s="13" t="str">
        <f aca="false">IF(Prices!A439="","",Prices!A439)</f>
        <v/>
      </c>
      <c r="B439" s="14" t="str">
        <f aca="false">IF(A439="","",Prices!C439)</f>
        <v/>
      </c>
      <c r="C439" s="15" t="str">
        <f aca="false">IF(A439="","",IFERROR(INDEX(FX!$B:$B,MATCH(A439,FX!$A:$A,1)),""))</f>
        <v/>
      </c>
      <c r="D439" s="14" t="str">
        <f aca="false">IF(A439="","",SUMIFS(Transactions!$D:$D,Transactions!$A:$A,"&lt;="&amp;A439,Transactions!$B:$B,Settings!$B$1))</f>
        <v/>
      </c>
      <c r="E439" s="14" t="str">
        <f aca="false">IF(A439="","",SUMIFS(Transactions!$C:$C,Transactions!$A:$A,"&lt;="&amp;A439,Transactions!$B:$B,Settings!$B$1)+SUMIFS(Transactions!$F:$F,Transactions!$A:$A,"&lt;="&amp;A439,Transactions!$B:$B,Settings!$B$1))</f>
        <v/>
      </c>
      <c r="F439" s="14" t="str">
        <f aca="false">IF(A439="","",IF(C439="","",D439*B439*C439))</f>
        <v/>
      </c>
      <c r="G439" s="14" t="str">
        <f aca="false">IF(F439="","",F439-E439)</f>
        <v/>
      </c>
      <c r="H439" s="14" t="str">
        <f aca="false">IF(F439="","",IFERROR(F439-F438-(E439-E438),0))</f>
        <v/>
      </c>
    </row>
    <row r="440" customFormat="false" ht="15" hidden="false" customHeight="false" outlineLevel="0" collapsed="false">
      <c r="A440" s="13" t="str">
        <f aca="false">IF(Prices!A440="","",Prices!A440)</f>
        <v/>
      </c>
      <c r="B440" s="14" t="str">
        <f aca="false">IF(A440="","",Prices!C440)</f>
        <v/>
      </c>
      <c r="C440" s="15" t="str">
        <f aca="false">IF(A440="","",IFERROR(INDEX(FX!$B:$B,MATCH(A440,FX!$A:$A,1)),""))</f>
        <v/>
      </c>
      <c r="D440" s="14" t="str">
        <f aca="false">IF(A440="","",SUMIFS(Transactions!$D:$D,Transactions!$A:$A,"&lt;="&amp;A440,Transactions!$B:$B,Settings!$B$1))</f>
        <v/>
      </c>
      <c r="E440" s="14" t="str">
        <f aca="false">IF(A440="","",SUMIFS(Transactions!$C:$C,Transactions!$A:$A,"&lt;="&amp;A440,Transactions!$B:$B,Settings!$B$1)+SUMIFS(Transactions!$F:$F,Transactions!$A:$A,"&lt;="&amp;A440,Transactions!$B:$B,Settings!$B$1))</f>
        <v/>
      </c>
      <c r="F440" s="14" t="str">
        <f aca="false">IF(A440="","",IF(C440="","",D440*B440*C440))</f>
        <v/>
      </c>
      <c r="G440" s="14" t="str">
        <f aca="false">IF(F440="","",F440-E440)</f>
        <v/>
      </c>
      <c r="H440" s="14" t="str">
        <f aca="false">IF(F440="","",IFERROR(F440-F439-(E440-E439),0))</f>
        <v/>
      </c>
    </row>
    <row r="441" customFormat="false" ht="15" hidden="false" customHeight="false" outlineLevel="0" collapsed="false">
      <c r="A441" s="13" t="str">
        <f aca="false">IF(Prices!A441="","",Prices!A441)</f>
        <v/>
      </c>
      <c r="B441" s="14" t="str">
        <f aca="false">IF(A441="","",Prices!C441)</f>
        <v/>
      </c>
      <c r="C441" s="15" t="str">
        <f aca="false">IF(A441="","",IFERROR(INDEX(FX!$B:$B,MATCH(A441,FX!$A:$A,1)),""))</f>
        <v/>
      </c>
      <c r="D441" s="14" t="str">
        <f aca="false">IF(A441="","",SUMIFS(Transactions!$D:$D,Transactions!$A:$A,"&lt;="&amp;A441,Transactions!$B:$B,Settings!$B$1))</f>
        <v/>
      </c>
      <c r="E441" s="14" t="str">
        <f aca="false">IF(A441="","",SUMIFS(Transactions!$C:$C,Transactions!$A:$A,"&lt;="&amp;A441,Transactions!$B:$B,Settings!$B$1)+SUMIFS(Transactions!$F:$F,Transactions!$A:$A,"&lt;="&amp;A441,Transactions!$B:$B,Settings!$B$1))</f>
        <v/>
      </c>
      <c r="F441" s="14" t="str">
        <f aca="false">IF(A441="","",IF(C441="","",D441*B441*C441))</f>
        <v/>
      </c>
      <c r="G441" s="14" t="str">
        <f aca="false">IF(F441="","",F441-E441)</f>
        <v/>
      </c>
      <c r="H441" s="14" t="str">
        <f aca="false">IF(F441="","",IFERROR(F441-F440-(E441-E440),0))</f>
        <v/>
      </c>
    </row>
    <row r="442" customFormat="false" ht="15" hidden="false" customHeight="false" outlineLevel="0" collapsed="false">
      <c r="A442" s="13" t="str">
        <f aca="false">IF(Prices!A442="","",Prices!A442)</f>
        <v/>
      </c>
      <c r="B442" s="14" t="str">
        <f aca="false">IF(A442="","",Prices!C442)</f>
        <v/>
      </c>
      <c r="C442" s="15" t="str">
        <f aca="false">IF(A442="","",IFERROR(INDEX(FX!$B:$B,MATCH(A442,FX!$A:$A,1)),""))</f>
        <v/>
      </c>
      <c r="D442" s="14" t="str">
        <f aca="false">IF(A442="","",SUMIFS(Transactions!$D:$D,Transactions!$A:$A,"&lt;="&amp;A442,Transactions!$B:$B,Settings!$B$1))</f>
        <v/>
      </c>
      <c r="E442" s="14" t="str">
        <f aca="false">IF(A442="","",SUMIFS(Transactions!$C:$C,Transactions!$A:$A,"&lt;="&amp;A442,Transactions!$B:$B,Settings!$B$1)+SUMIFS(Transactions!$F:$F,Transactions!$A:$A,"&lt;="&amp;A442,Transactions!$B:$B,Settings!$B$1))</f>
        <v/>
      </c>
      <c r="F442" s="14" t="str">
        <f aca="false">IF(A442="","",IF(C442="","",D442*B442*C442))</f>
        <v/>
      </c>
      <c r="G442" s="14" t="str">
        <f aca="false">IF(F442="","",F442-E442)</f>
        <v/>
      </c>
      <c r="H442" s="14" t="str">
        <f aca="false">IF(F442="","",IFERROR(F442-F441-(E442-E441),0))</f>
        <v/>
      </c>
    </row>
    <row r="443" customFormat="false" ht="15" hidden="false" customHeight="false" outlineLevel="0" collapsed="false">
      <c r="A443" s="13" t="str">
        <f aca="false">IF(Prices!A443="","",Prices!A443)</f>
        <v/>
      </c>
      <c r="B443" s="14" t="str">
        <f aca="false">IF(A443="","",Prices!C443)</f>
        <v/>
      </c>
      <c r="C443" s="15" t="str">
        <f aca="false">IF(A443="","",IFERROR(INDEX(FX!$B:$B,MATCH(A443,FX!$A:$A,1)),""))</f>
        <v/>
      </c>
      <c r="D443" s="14" t="str">
        <f aca="false">IF(A443="","",SUMIFS(Transactions!$D:$D,Transactions!$A:$A,"&lt;="&amp;A443,Transactions!$B:$B,Settings!$B$1))</f>
        <v/>
      </c>
      <c r="E443" s="14" t="str">
        <f aca="false">IF(A443="","",SUMIFS(Transactions!$C:$C,Transactions!$A:$A,"&lt;="&amp;A443,Transactions!$B:$B,Settings!$B$1)+SUMIFS(Transactions!$F:$F,Transactions!$A:$A,"&lt;="&amp;A443,Transactions!$B:$B,Settings!$B$1))</f>
        <v/>
      </c>
      <c r="F443" s="14" t="str">
        <f aca="false">IF(A443="","",IF(C443="","",D443*B443*C443))</f>
        <v/>
      </c>
      <c r="G443" s="14" t="str">
        <f aca="false">IF(F443="","",F443-E443)</f>
        <v/>
      </c>
      <c r="H443" s="14" t="str">
        <f aca="false">IF(F443="","",IFERROR(F443-F442-(E443-E442),0))</f>
        <v/>
      </c>
    </row>
    <row r="444" customFormat="false" ht="15" hidden="false" customHeight="false" outlineLevel="0" collapsed="false">
      <c r="A444" s="13" t="str">
        <f aca="false">IF(Prices!A444="","",Prices!A444)</f>
        <v/>
      </c>
      <c r="B444" s="14" t="str">
        <f aca="false">IF(A444="","",Prices!C444)</f>
        <v/>
      </c>
      <c r="C444" s="15" t="str">
        <f aca="false">IF(A444="","",IFERROR(INDEX(FX!$B:$B,MATCH(A444,FX!$A:$A,1)),""))</f>
        <v/>
      </c>
      <c r="D444" s="14" t="str">
        <f aca="false">IF(A444="","",SUMIFS(Transactions!$D:$D,Transactions!$A:$A,"&lt;="&amp;A444,Transactions!$B:$B,Settings!$B$1))</f>
        <v/>
      </c>
      <c r="E444" s="14" t="str">
        <f aca="false">IF(A444="","",SUMIFS(Transactions!$C:$C,Transactions!$A:$A,"&lt;="&amp;A444,Transactions!$B:$B,Settings!$B$1)+SUMIFS(Transactions!$F:$F,Transactions!$A:$A,"&lt;="&amp;A444,Transactions!$B:$B,Settings!$B$1))</f>
        <v/>
      </c>
      <c r="F444" s="14" t="str">
        <f aca="false">IF(A444="","",IF(C444="","",D444*B444*C444))</f>
        <v/>
      </c>
      <c r="G444" s="14" t="str">
        <f aca="false">IF(F444="","",F444-E444)</f>
        <v/>
      </c>
      <c r="H444" s="14" t="str">
        <f aca="false">IF(F444="","",IFERROR(F444-F443-(E444-E443),0))</f>
        <v/>
      </c>
    </row>
    <row r="445" customFormat="false" ht="15" hidden="false" customHeight="false" outlineLevel="0" collapsed="false">
      <c r="A445" s="13" t="str">
        <f aca="false">IF(Prices!A445="","",Prices!A445)</f>
        <v/>
      </c>
      <c r="B445" s="14" t="str">
        <f aca="false">IF(A445="","",Prices!C445)</f>
        <v/>
      </c>
      <c r="C445" s="15" t="str">
        <f aca="false">IF(A445="","",IFERROR(INDEX(FX!$B:$B,MATCH(A445,FX!$A:$A,1)),""))</f>
        <v/>
      </c>
      <c r="D445" s="14" t="str">
        <f aca="false">IF(A445="","",SUMIFS(Transactions!$D:$D,Transactions!$A:$A,"&lt;="&amp;A445,Transactions!$B:$B,Settings!$B$1))</f>
        <v/>
      </c>
      <c r="E445" s="14" t="str">
        <f aca="false">IF(A445="","",SUMIFS(Transactions!$C:$C,Transactions!$A:$A,"&lt;="&amp;A445,Transactions!$B:$B,Settings!$B$1)+SUMIFS(Transactions!$F:$F,Transactions!$A:$A,"&lt;="&amp;A445,Transactions!$B:$B,Settings!$B$1))</f>
        <v/>
      </c>
      <c r="F445" s="14" t="str">
        <f aca="false">IF(A445="","",IF(C445="","",D445*B445*C445))</f>
        <v/>
      </c>
      <c r="G445" s="14" t="str">
        <f aca="false">IF(F445="","",F445-E445)</f>
        <v/>
      </c>
      <c r="H445" s="14" t="str">
        <f aca="false">IF(F445="","",IFERROR(F445-F444-(E445-E444),0))</f>
        <v/>
      </c>
    </row>
    <row r="446" customFormat="false" ht="15" hidden="false" customHeight="false" outlineLevel="0" collapsed="false">
      <c r="A446" s="13" t="str">
        <f aca="false">IF(Prices!A446="","",Prices!A446)</f>
        <v/>
      </c>
      <c r="B446" s="14" t="str">
        <f aca="false">IF(A446="","",Prices!C446)</f>
        <v/>
      </c>
      <c r="C446" s="15" t="str">
        <f aca="false">IF(A446="","",IFERROR(INDEX(FX!$B:$B,MATCH(A446,FX!$A:$A,1)),""))</f>
        <v/>
      </c>
      <c r="D446" s="14" t="str">
        <f aca="false">IF(A446="","",SUMIFS(Transactions!$D:$D,Transactions!$A:$A,"&lt;="&amp;A446,Transactions!$B:$B,Settings!$B$1))</f>
        <v/>
      </c>
      <c r="E446" s="14" t="str">
        <f aca="false">IF(A446="","",SUMIFS(Transactions!$C:$C,Transactions!$A:$A,"&lt;="&amp;A446,Transactions!$B:$B,Settings!$B$1)+SUMIFS(Transactions!$F:$F,Transactions!$A:$A,"&lt;="&amp;A446,Transactions!$B:$B,Settings!$B$1))</f>
        <v/>
      </c>
      <c r="F446" s="14" t="str">
        <f aca="false">IF(A446="","",IF(C446="","",D446*B446*C446))</f>
        <v/>
      </c>
      <c r="G446" s="14" t="str">
        <f aca="false">IF(F446="","",F446-E446)</f>
        <v/>
      </c>
      <c r="H446" s="14" t="str">
        <f aca="false">IF(F446="","",IFERROR(F446-F445-(E446-E445),0))</f>
        <v/>
      </c>
    </row>
    <row r="447" customFormat="false" ht="15" hidden="false" customHeight="false" outlineLevel="0" collapsed="false">
      <c r="A447" s="13" t="str">
        <f aca="false">IF(Prices!A447="","",Prices!A447)</f>
        <v/>
      </c>
      <c r="B447" s="14" t="str">
        <f aca="false">IF(A447="","",Prices!C447)</f>
        <v/>
      </c>
      <c r="C447" s="15" t="str">
        <f aca="false">IF(A447="","",IFERROR(INDEX(FX!$B:$B,MATCH(A447,FX!$A:$A,1)),""))</f>
        <v/>
      </c>
      <c r="D447" s="14" t="str">
        <f aca="false">IF(A447="","",SUMIFS(Transactions!$D:$D,Transactions!$A:$A,"&lt;="&amp;A447,Transactions!$B:$B,Settings!$B$1))</f>
        <v/>
      </c>
      <c r="E447" s="14" t="str">
        <f aca="false">IF(A447="","",SUMIFS(Transactions!$C:$C,Transactions!$A:$A,"&lt;="&amp;A447,Transactions!$B:$B,Settings!$B$1)+SUMIFS(Transactions!$F:$F,Transactions!$A:$A,"&lt;="&amp;A447,Transactions!$B:$B,Settings!$B$1))</f>
        <v/>
      </c>
      <c r="F447" s="14" t="str">
        <f aca="false">IF(A447="","",IF(C447="","",D447*B447*C447))</f>
        <v/>
      </c>
      <c r="G447" s="14" t="str">
        <f aca="false">IF(F447="","",F447-E447)</f>
        <v/>
      </c>
      <c r="H447" s="14" t="str">
        <f aca="false">IF(F447="","",IFERROR(F447-F446-(E447-E446),0))</f>
        <v/>
      </c>
    </row>
    <row r="448" customFormat="false" ht="15" hidden="false" customHeight="false" outlineLevel="0" collapsed="false">
      <c r="A448" s="13" t="str">
        <f aca="false">IF(Prices!A448="","",Prices!A448)</f>
        <v/>
      </c>
      <c r="B448" s="14" t="str">
        <f aca="false">IF(A448="","",Prices!C448)</f>
        <v/>
      </c>
      <c r="C448" s="15" t="str">
        <f aca="false">IF(A448="","",IFERROR(INDEX(FX!$B:$B,MATCH(A448,FX!$A:$A,1)),""))</f>
        <v/>
      </c>
      <c r="D448" s="14" t="str">
        <f aca="false">IF(A448="","",SUMIFS(Transactions!$D:$D,Transactions!$A:$A,"&lt;="&amp;A448,Transactions!$B:$B,Settings!$B$1))</f>
        <v/>
      </c>
      <c r="E448" s="14" t="str">
        <f aca="false">IF(A448="","",SUMIFS(Transactions!$C:$C,Transactions!$A:$A,"&lt;="&amp;A448,Transactions!$B:$B,Settings!$B$1)+SUMIFS(Transactions!$F:$F,Transactions!$A:$A,"&lt;="&amp;A448,Transactions!$B:$B,Settings!$B$1))</f>
        <v/>
      </c>
      <c r="F448" s="14" t="str">
        <f aca="false">IF(A448="","",IF(C448="","",D448*B448*C448))</f>
        <v/>
      </c>
      <c r="G448" s="14" t="str">
        <f aca="false">IF(F448="","",F448-E448)</f>
        <v/>
      </c>
      <c r="H448" s="14" t="str">
        <f aca="false">IF(F448="","",IFERROR(F448-F447-(E448-E447),0))</f>
        <v/>
      </c>
    </row>
    <row r="449" customFormat="false" ht="15" hidden="false" customHeight="false" outlineLevel="0" collapsed="false">
      <c r="A449" s="13" t="str">
        <f aca="false">IF(Prices!A449="","",Prices!A449)</f>
        <v/>
      </c>
      <c r="B449" s="14" t="str">
        <f aca="false">IF(A449="","",Prices!C449)</f>
        <v/>
      </c>
      <c r="C449" s="15" t="str">
        <f aca="false">IF(A449="","",IFERROR(INDEX(FX!$B:$B,MATCH(A449,FX!$A:$A,1)),""))</f>
        <v/>
      </c>
      <c r="D449" s="14" t="str">
        <f aca="false">IF(A449="","",SUMIFS(Transactions!$D:$D,Transactions!$A:$A,"&lt;="&amp;A449,Transactions!$B:$B,Settings!$B$1))</f>
        <v/>
      </c>
      <c r="E449" s="14" t="str">
        <f aca="false">IF(A449="","",SUMIFS(Transactions!$C:$C,Transactions!$A:$A,"&lt;="&amp;A449,Transactions!$B:$B,Settings!$B$1)+SUMIFS(Transactions!$F:$F,Transactions!$A:$A,"&lt;="&amp;A449,Transactions!$B:$B,Settings!$B$1))</f>
        <v/>
      </c>
      <c r="F449" s="14" t="str">
        <f aca="false">IF(A449="","",IF(C449="","",D449*B449*C449))</f>
        <v/>
      </c>
      <c r="G449" s="14" t="str">
        <f aca="false">IF(F449="","",F449-E449)</f>
        <v/>
      </c>
      <c r="H449" s="14" t="str">
        <f aca="false">IF(F449="","",IFERROR(F449-F448-(E449-E448),0))</f>
        <v/>
      </c>
    </row>
    <row r="450" customFormat="false" ht="15" hidden="false" customHeight="false" outlineLevel="0" collapsed="false">
      <c r="A450" s="13" t="str">
        <f aca="false">IF(Prices!A450="","",Prices!A450)</f>
        <v/>
      </c>
      <c r="B450" s="14" t="str">
        <f aca="false">IF(A450="","",Prices!C450)</f>
        <v/>
      </c>
      <c r="C450" s="15" t="str">
        <f aca="false">IF(A450="","",IFERROR(INDEX(FX!$B:$B,MATCH(A450,FX!$A:$A,1)),""))</f>
        <v/>
      </c>
      <c r="D450" s="14" t="str">
        <f aca="false">IF(A450="","",SUMIFS(Transactions!$D:$D,Transactions!$A:$A,"&lt;="&amp;A450,Transactions!$B:$B,Settings!$B$1))</f>
        <v/>
      </c>
      <c r="E450" s="14" t="str">
        <f aca="false">IF(A450="","",SUMIFS(Transactions!$C:$C,Transactions!$A:$A,"&lt;="&amp;A450,Transactions!$B:$B,Settings!$B$1)+SUMIFS(Transactions!$F:$F,Transactions!$A:$A,"&lt;="&amp;A450,Transactions!$B:$B,Settings!$B$1))</f>
        <v/>
      </c>
      <c r="F450" s="14" t="str">
        <f aca="false">IF(A450="","",IF(C450="","",D450*B450*C450))</f>
        <v/>
      </c>
      <c r="G450" s="14" t="str">
        <f aca="false">IF(F450="","",F450-E450)</f>
        <v/>
      </c>
      <c r="H450" s="14" t="str">
        <f aca="false">IF(F450="","",IFERROR(F450-F449-(E450-E449),0))</f>
        <v/>
      </c>
    </row>
    <row r="451" customFormat="false" ht="15" hidden="false" customHeight="false" outlineLevel="0" collapsed="false">
      <c r="A451" s="13" t="str">
        <f aca="false">IF(Prices!A451="","",Prices!A451)</f>
        <v/>
      </c>
      <c r="B451" s="14" t="str">
        <f aca="false">IF(A451="","",Prices!C451)</f>
        <v/>
      </c>
      <c r="C451" s="15" t="str">
        <f aca="false">IF(A451="","",IFERROR(INDEX(FX!$B:$B,MATCH(A451,FX!$A:$A,1)),""))</f>
        <v/>
      </c>
      <c r="D451" s="14" t="str">
        <f aca="false">IF(A451="","",SUMIFS(Transactions!$D:$D,Transactions!$A:$A,"&lt;="&amp;A451,Transactions!$B:$B,Settings!$B$1))</f>
        <v/>
      </c>
      <c r="E451" s="14" t="str">
        <f aca="false">IF(A451="","",SUMIFS(Transactions!$C:$C,Transactions!$A:$A,"&lt;="&amp;A451,Transactions!$B:$B,Settings!$B$1)+SUMIFS(Transactions!$F:$F,Transactions!$A:$A,"&lt;="&amp;A451,Transactions!$B:$B,Settings!$B$1))</f>
        <v/>
      </c>
      <c r="F451" s="14" t="str">
        <f aca="false">IF(A451="","",IF(C451="","",D451*B451*C451))</f>
        <v/>
      </c>
      <c r="G451" s="14" t="str">
        <f aca="false">IF(F451="","",F451-E451)</f>
        <v/>
      </c>
      <c r="H451" s="14" t="str">
        <f aca="false">IF(F451="","",IFERROR(F451-F450-(E451-E450),0))</f>
        <v/>
      </c>
    </row>
    <row r="452" customFormat="false" ht="15" hidden="false" customHeight="false" outlineLevel="0" collapsed="false">
      <c r="A452" s="13" t="str">
        <f aca="false">IF(Prices!A452="","",Prices!A452)</f>
        <v/>
      </c>
      <c r="B452" s="14" t="str">
        <f aca="false">IF(A452="","",Prices!C452)</f>
        <v/>
      </c>
      <c r="C452" s="15" t="str">
        <f aca="false">IF(A452="","",IFERROR(INDEX(FX!$B:$B,MATCH(A452,FX!$A:$A,1)),""))</f>
        <v/>
      </c>
      <c r="D452" s="14" t="str">
        <f aca="false">IF(A452="","",SUMIFS(Transactions!$D:$D,Transactions!$A:$A,"&lt;="&amp;A452,Transactions!$B:$B,Settings!$B$1))</f>
        <v/>
      </c>
      <c r="E452" s="14" t="str">
        <f aca="false">IF(A452="","",SUMIFS(Transactions!$C:$C,Transactions!$A:$A,"&lt;="&amp;A452,Transactions!$B:$B,Settings!$B$1)+SUMIFS(Transactions!$F:$F,Transactions!$A:$A,"&lt;="&amp;A452,Transactions!$B:$B,Settings!$B$1))</f>
        <v/>
      </c>
      <c r="F452" s="14" t="str">
        <f aca="false">IF(A452="","",IF(C452="","",D452*B452*C452))</f>
        <v/>
      </c>
      <c r="G452" s="14" t="str">
        <f aca="false">IF(F452="","",F452-E452)</f>
        <v/>
      </c>
      <c r="H452" s="14" t="str">
        <f aca="false">IF(F452="","",IFERROR(F452-F451-(E452-E451),0))</f>
        <v/>
      </c>
    </row>
    <row r="453" customFormat="false" ht="15" hidden="false" customHeight="false" outlineLevel="0" collapsed="false">
      <c r="A453" s="13" t="str">
        <f aca="false">IF(Prices!A453="","",Prices!A453)</f>
        <v/>
      </c>
      <c r="B453" s="14" t="str">
        <f aca="false">IF(A453="","",Prices!C453)</f>
        <v/>
      </c>
      <c r="C453" s="15" t="str">
        <f aca="false">IF(A453="","",IFERROR(INDEX(FX!$B:$B,MATCH(A453,FX!$A:$A,1)),""))</f>
        <v/>
      </c>
      <c r="D453" s="14" t="str">
        <f aca="false">IF(A453="","",SUMIFS(Transactions!$D:$D,Transactions!$A:$A,"&lt;="&amp;A453,Transactions!$B:$B,Settings!$B$1))</f>
        <v/>
      </c>
      <c r="E453" s="14" t="str">
        <f aca="false">IF(A453="","",SUMIFS(Transactions!$C:$C,Transactions!$A:$A,"&lt;="&amp;A453,Transactions!$B:$B,Settings!$B$1)+SUMIFS(Transactions!$F:$F,Transactions!$A:$A,"&lt;="&amp;A453,Transactions!$B:$B,Settings!$B$1))</f>
        <v/>
      </c>
      <c r="F453" s="14" t="str">
        <f aca="false">IF(A453="","",IF(C453="","",D453*B453*C453))</f>
        <v/>
      </c>
      <c r="G453" s="14" t="str">
        <f aca="false">IF(F453="","",F453-E453)</f>
        <v/>
      </c>
      <c r="H453" s="14" t="str">
        <f aca="false">IF(F453="","",IFERROR(F453-F452-(E453-E452),0))</f>
        <v/>
      </c>
    </row>
    <row r="454" customFormat="false" ht="15" hidden="false" customHeight="false" outlineLevel="0" collapsed="false">
      <c r="A454" s="13" t="str">
        <f aca="false">IF(Prices!A454="","",Prices!A454)</f>
        <v/>
      </c>
      <c r="B454" s="14" t="str">
        <f aca="false">IF(A454="","",Prices!C454)</f>
        <v/>
      </c>
      <c r="C454" s="15" t="str">
        <f aca="false">IF(A454="","",IFERROR(INDEX(FX!$B:$B,MATCH(A454,FX!$A:$A,1)),""))</f>
        <v/>
      </c>
      <c r="D454" s="14" t="str">
        <f aca="false">IF(A454="","",SUMIFS(Transactions!$D:$D,Transactions!$A:$A,"&lt;="&amp;A454,Transactions!$B:$B,Settings!$B$1))</f>
        <v/>
      </c>
      <c r="E454" s="14" t="str">
        <f aca="false">IF(A454="","",SUMIFS(Transactions!$C:$C,Transactions!$A:$A,"&lt;="&amp;A454,Transactions!$B:$B,Settings!$B$1)+SUMIFS(Transactions!$F:$F,Transactions!$A:$A,"&lt;="&amp;A454,Transactions!$B:$B,Settings!$B$1))</f>
        <v/>
      </c>
      <c r="F454" s="14" t="str">
        <f aca="false">IF(A454="","",IF(C454="","",D454*B454*C454))</f>
        <v/>
      </c>
      <c r="G454" s="14" t="str">
        <f aca="false">IF(F454="","",F454-E454)</f>
        <v/>
      </c>
      <c r="H454" s="14" t="str">
        <f aca="false">IF(F454="","",IFERROR(F454-F453-(E454-E453),0))</f>
        <v/>
      </c>
    </row>
    <row r="455" customFormat="false" ht="15" hidden="false" customHeight="false" outlineLevel="0" collapsed="false">
      <c r="A455" s="13" t="str">
        <f aca="false">IF(Prices!A455="","",Prices!A455)</f>
        <v/>
      </c>
      <c r="B455" s="14" t="str">
        <f aca="false">IF(A455="","",Prices!C455)</f>
        <v/>
      </c>
      <c r="C455" s="15" t="str">
        <f aca="false">IF(A455="","",IFERROR(INDEX(FX!$B:$B,MATCH(A455,FX!$A:$A,1)),""))</f>
        <v/>
      </c>
      <c r="D455" s="14" t="str">
        <f aca="false">IF(A455="","",SUMIFS(Transactions!$D:$D,Transactions!$A:$A,"&lt;="&amp;A455,Transactions!$B:$B,Settings!$B$1))</f>
        <v/>
      </c>
      <c r="E455" s="14" t="str">
        <f aca="false">IF(A455="","",SUMIFS(Transactions!$C:$C,Transactions!$A:$A,"&lt;="&amp;A455,Transactions!$B:$B,Settings!$B$1)+SUMIFS(Transactions!$F:$F,Transactions!$A:$A,"&lt;="&amp;A455,Transactions!$B:$B,Settings!$B$1))</f>
        <v/>
      </c>
      <c r="F455" s="14" t="str">
        <f aca="false">IF(A455="","",IF(C455="","",D455*B455*C455))</f>
        <v/>
      </c>
      <c r="G455" s="14" t="str">
        <f aca="false">IF(F455="","",F455-E455)</f>
        <v/>
      </c>
      <c r="H455" s="14" t="str">
        <f aca="false">IF(F455="","",IFERROR(F455-F454-(E455-E454),0))</f>
        <v/>
      </c>
    </row>
    <row r="456" customFormat="false" ht="15" hidden="false" customHeight="false" outlineLevel="0" collapsed="false">
      <c r="A456" s="13" t="str">
        <f aca="false">IF(Prices!A456="","",Prices!A456)</f>
        <v/>
      </c>
      <c r="B456" s="14" t="str">
        <f aca="false">IF(A456="","",Prices!C456)</f>
        <v/>
      </c>
      <c r="C456" s="15" t="str">
        <f aca="false">IF(A456="","",IFERROR(INDEX(FX!$B:$B,MATCH(A456,FX!$A:$A,1)),""))</f>
        <v/>
      </c>
      <c r="D456" s="14" t="str">
        <f aca="false">IF(A456="","",SUMIFS(Transactions!$D:$D,Transactions!$A:$A,"&lt;="&amp;A456,Transactions!$B:$B,Settings!$B$1))</f>
        <v/>
      </c>
      <c r="E456" s="14" t="str">
        <f aca="false">IF(A456="","",SUMIFS(Transactions!$C:$C,Transactions!$A:$A,"&lt;="&amp;A456,Transactions!$B:$B,Settings!$B$1)+SUMIFS(Transactions!$F:$F,Transactions!$A:$A,"&lt;="&amp;A456,Transactions!$B:$B,Settings!$B$1))</f>
        <v/>
      </c>
      <c r="F456" s="14" t="str">
        <f aca="false">IF(A456="","",IF(C456="","",D456*B456*C456))</f>
        <v/>
      </c>
      <c r="G456" s="14" t="str">
        <f aca="false">IF(F456="","",F456-E456)</f>
        <v/>
      </c>
      <c r="H456" s="14" t="str">
        <f aca="false">IF(F456="","",IFERROR(F456-F455-(E456-E455),0))</f>
        <v/>
      </c>
    </row>
    <row r="457" customFormat="false" ht="15" hidden="false" customHeight="false" outlineLevel="0" collapsed="false">
      <c r="A457" s="13" t="str">
        <f aca="false">IF(Prices!A457="","",Prices!A457)</f>
        <v/>
      </c>
      <c r="B457" s="14" t="str">
        <f aca="false">IF(A457="","",Prices!C457)</f>
        <v/>
      </c>
      <c r="C457" s="15" t="str">
        <f aca="false">IF(A457="","",IFERROR(INDEX(FX!$B:$B,MATCH(A457,FX!$A:$A,1)),""))</f>
        <v/>
      </c>
      <c r="D457" s="14" t="str">
        <f aca="false">IF(A457="","",SUMIFS(Transactions!$D:$D,Transactions!$A:$A,"&lt;="&amp;A457,Transactions!$B:$B,Settings!$B$1))</f>
        <v/>
      </c>
      <c r="E457" s="14" t="str">
        <f aca="false">IF(A457="","",SUMIFS(Transactions!$C:$C,Transactions!$A:$A,"&lt;="&amp;A457,Transactions!$B:$B,Settings!$B$1)+SUMIFS(Transactions!$F:$F,Transactions!$A:$A,"&lt;="&amp;A457,Transactions!$B:$B,Settings!$B$1))</f>
        <v/>
      </c>
      <c r="F457" s="14" t="str">
        <f aca="false">IF(A457="","",IF(C457="","",D457*B457*C457))</f>
        <v/>
      </c>
      <c r="G457" s="14" t="str">
        <f aca="false">IF(F457="","",F457-E457)</f>
        <v/>
      </c>
      <c r="H457" s="14" t="str">
        <f aca="false">IF(F457="","",IFERROR(F457-F456-(E457-E456),0))</f>
        <v/>
      </c>
    </row>
    <row r="458" customFormat="false" ht="15" hidden="false" customHeight="false" outlineLevel="0" collapsed="false">
      <c r="A458" s="13" t="str">
        <f aca="false">IF(Prices!A458="","",Prices!A458)</f>
        <v/>
      </c>
      <c r="B458" s="14" t="str">
        <f aca="false">IF(A458="","",Prices!C458)</f>
        <v/>
      </c>
      <c r="C458" s="15" t="str">
        <f aca="false">IF(A458="","",IFERROR(INDEX(FX!$B:$B,MATCH(A458,FX!$A:$A,1)),""))</f>
        <v/>
      </c>
      <c r="D458" s="14" t="str">
        <f aca="false">IF(A458="","",SUMIFS(Transactions!$D:$D,Transactions!$A:$A,"&lt;="&amp;A458,Transactions!$B:$B,Settings!$B$1))</f>
        <v/>
      </c>
      <c r="E458" s="14" t="str">
        <f aca="false">IF(A458="","",SUMIFS(Transactions!$C:$C,Transactions!$A:$A,"&lt;="&amp;A458,Transactions!$B:$B,Settings!$B$1)+SUMIFS(Transactions!$F:$F,Transactions!$A:$A,"&lt;="&amp;A458,Transactions!$B:$B,Settings!$B$1))</f>
        <v/>
      </c>
      <c r="F458" s="14" t="str">
        <f aca="false">IF(A458="","",IF(C458="","",D458*B458*C458))</f>
        <v/>
      </c>
      <c r="G458" s="14" t="str">
        <f aca="false">IF(F458="","",F458-E458)</f>
        <v/>
      </c>
      <c r="H458" s="14" t="str">
        <f aca="false">IF(F458="","",IFERROR(F458-F457-(E458-E457),0))</f>
        <v/>
      </c>
    </row>
    <row r="459" customFormat="false" ht="15" hidden="false" customHeight="false" outlineLevel="0" collapsed="false">
      <c r="A459" s="13" t="str">
        <f aca="false">IF(Prices!A459="","",Prices!A459)</f>
        <v/>
      </c>
      <c r="B459" s="14" t="str">
        <f aca="false">IF(A459="","",Prices!C459)</f>
        <v/>
      </c>
      <c r="C459" s="15" t="str">
        <f aca="false">IF(A459="","",IFERROR(INDEX(FX!$B:$B,MATCH(A459,FX!$A:$A,1)),""))</f>
        <v/>
      </c>
      <c r="D459" s="14" t="str">
        <f aca="false">IF(A459="","",SUMIFS(Transactions!$D:$D,Transactions!$A:$A,"&lt;="&amp;A459,Transactions!$B:$B,Settings!$B$1))</f>
        <v/>
      </c>
      <c r="E459" s="14" t="str">
        <f aca="false">IF(A459="","",SUMIFS(Transactions!$C:$C,Transactions!$A:$A,"&lt;="&amp;A459,Transactions!$B:$B,Settings!$B$1)+SUMIFS(Transactions!$F:$F,Transactions!$A:$A,"&lt;="&amp;A459,Transactions!$B:$B,Settings!$B$1))</f>
        <v/>
      </c>
      <c r="F459" s="14" t="str">
        <f aca="false">IF(A459="","",IF(C459="","",D459*B459*C459))</f>
        <v/>
      </c>
      <c r="G459" s="14" t="str">
        <f aca="false">IF(F459="","",F459-E459)</f>
        <v/>
      </c>
      <c r="H459" s="14" t="str">
        <f aca="false">IF(F459="","",IFERROR(F459-F458-(E459-E458),0))</f>
        <v/>
      </c>
    </row>
    <row r="460" customFormat="false" ht="15" hidden="false" customHeight="false" outlineLevel="0" collapsed="false">
      <c r="A460" s="13" t="str">
        <f aca="false">IF(Prices!A460="","",Prices!A460)</f>
        <v/>
      </c>
      <c r="B460" s="14" t="str">
        <f aca="false">IF(A460="","",Prices!C460)</f>
        <v/>
      </c>
      <c r="C460" s="15" t="str">
        <f aca="false">IF(A460="","",IFERROR(INDEX(FX!$B:$B,MATCH(A460,FX!$A:$A,1)),""))</f>
        <v/>
      </c>
      <c r="D460" s="14" t="str">
        <f aca="false">IF(A460="","",SUMIFS(Transactions!$D:$D,Transactions!$A:$A,"&lt;="&amp;A460,Transactions!$B:$B,Settings!$B$1))</f>
        <v/>
      </c>
      <c r="E460" s="14" t="str">
        <f aca="false">IF(A460="","",SUMIFS(Transactions!$C:$C,Transactions!$A:$A,"&lt;="&amp;A460,Transactions!$B:$B,Settings!$B$1)+SUMIFS(Transactions!$F:$F,Transactions!$A:$A,"&lt;="&amp;A460,Transactions!$B:$B,Settings!$B$1))</f>
        <v/>
      </c>
      <c r="F460" s="14" t="str">
        <f aca="false">IF(A460="","",IF(C460="","",D460*B460*C460))</f>
        <v/>
      </c>
      <c r="G460" s="14" t="str">
        <f aca="false">IF(F460="","",F460-E460)</f>
        <v/>
      </c>
      <c r="H460" s="14" t="str">
        <f aca="false">IF(F460="","",IFERROR(F460-F459-(E460-E459),0))</f>
        <v/>
      </c>
    </row>
    <row r="461" customFormat="false" ht="15" hidden="false" customHeight="false" outlineLevel="0" collapsed="false">
      <c r="A461" s="13" t="str">
        <f aca="false">IF(Prices!A461="","",Prices!A461)</f>
        <v/>
      </c>
      <c r="B461" s="14" t="str">
        <f aca="false">IF(A461="","",Prices!C461)</f>
        <v/>
      </c>
      <c r="C461" s="15" t="str">
        <f aca="false">IF(A461="","",IFERROR(INDEX(FX!$B:$B,MATCH(A461,FX!$A:$A,1)),""))</f>
        <v/>
      </c>
      <c r="D461" s="14" t="str">
        <f aca="false">IF(A461="","",SUMIFS(Transactions!$D:$D,Transactions!$A:$A,"&lt;="&amp;A461,Transactions!$B:$B,Settings!$B$1))</f>
        <v/>
      </c>
      <c r="E461" s="14" t="str">
        <f aca="false">IF(A461="","",SUMIFS(Transactions!$C:$C,Transactions!$A:$A,"&lt;="&amp;A461,Transactions!$B:$B,Settings!$B$1)+SUMIFS(Transactions!$F:$F,Transactions!$A:$A,"&lt;="&amp;A461,Transactions!$B:$B,Settings!$B$1))</f>
        <v/>
      </c>
      <c r="F461" s="14" t="str">
        <f aca="false">IF(A461="","",IF(C461="","",D461*B461*C461))</f>
        <v/>
      </c>
      <c r="G461" s="14" t="str">
        <f aca="false">IF(F461="","",F461-E461)</f>
        <v/>
      </c>
      <c r="H461" s="14" t="str">
        <f aca="false">IF(F461="","",IFERROR(F461-F460-(E461-E460),0))</f>
        <v/>
      </c>
    </row>
    <row r="462" customFormat="false" ht="15" hidden="false" customHeight="false" outlineLevel="0" collapsed="false">
      <c r="A462" s="13" t="str">
        <f aca="false">IF(Prices!A462="","",Prices!A462)</f>
        <v/>
      </c>
      <c r="B462" s="14" t="str">
        <f aca="false">IF(A462="","",Prices!C462)</f>
        <v/>
      </c>
      <c r="C462" s="15" t="str">
        <f aca="false">IF(A462="","",IFERROR(INDEX(FX!$B:$B,MATCH(A462,FX!$A:$A,1)),""))</f>
        <v/>
      </c>
      <c r="D462" s="14" t="str">
        <f aca="false">IF(A462="","",SUMIFS(Transactions!$D:$D,Transactions!$A:$A,"&lt;="&amp;A462,Transactions!$B:$B,Settings!$B$1))</f>
        <v/>
      </c>
      <c r="E462" s="14" t="str">
        <f aca="false">IF(A462="","",SUMIFS(Transactions!$C:$C,Transactions!$A:$A,"&lt;="&amp;A462,Transactions!$B:$B,Settings!$B$1)+SUMIFS(Transactions!$F:$F,Transactions!$A:$A,"&lt;="&amp;A462,Transactions!$B:$B,Settings!$B$1))</f>
        <v/>
      </c>
      <c r="F462" s="14" t="str">
        <f aca="false">IF(A462="","",IF(C462="","",D462*B462*C462))</f>
        <v/>
      </c>
      <c r="G462" s="14" t="str">
        <f aca="false">IF(F462="","",F462-E462)</f>
        <v/>
      </c>
      <c r="H462" s="14" t="str">
        <f aca="false">IF(F462="","",IFERROR(F462-F461-(E462-E461),0))</f>
        <v/>
      </c>
    </row>
    <row r="463" customFormat="false" ht="15" hidden="false" customHeight="false" outlineLevel="0" collapsed="false">
      <c r="A463" s="13" t="str">
        <f aca="false">IF(Prices!A463="","",Prices!A463)</f>
        <v/>
      </c>
      <c r="B463" s="14" t="str">
        <f aca="false">IF(A463="","",Prices!C463)</f>
        <v/>
      </c>
      <c r="C463" s="15" t="str">
        <f aca="false">IF(A463="","",IFERROR(INDEX(FX!$B:$B,MATCH(A463,FX!$A:$A,1)),""))</f>
        <v/>
      </c>
      <c r="D463" s="14" t="str">
        <f aca="false">IF(A463="","",SUMIFS(Transactions!$D:$D,Transactions!$A:$A,"&lt;="&amp;A463,Transactions!$B:$B,Settings!$B$1))</f>
        <v/>
      </c>
      <c r="E463" s="14" t="str">
        <f aca="false">IF(A463="","",SUMIFS(Transactions!$C:$C,Transactions!$A:$A,"&lt;="&amp;A463,Transactions!$B:$B,Settings!$B$1)+SUMIFS(Transactions!$F:$F,Transactions!$A:$A,"&lt;="&amp;A463,Transactions!$B:$B,Settings!$B$1))</f>
        <v/>
      </c>
      <c r="F463" s="14" t="str">
        <f aca="false">IF(A463="","",IF(C463="","",D463*B463*C463))</f>
        <v/>
      </c>
      <c r="G463" s="14" t="str">
        <f aca="false">IF(F463="","",F463-E463)</f>
        <v/>
      </c>
      <c r="H463" s="14" t="str">
        <f aca="false">IF(F463="","",IFERROR(F463-F462-(E463-E462),0))</f>
        <v/>
      </c>
    </row>
    <row r="464" customFormat="false" ht="15" hidden="false" customHeight="false" outlineLevel="0" collapsed="false">
      <c r="A464" s="13" t="str">
        <f aca="false">IF(Prices!A464="","",Prices!A464)</f>
        <v/>
      </c>
      <c r="B464" s="14" t="str">
        <f aca="false">IF(A464="","",Prices!C464)</f>
        <v/>
      </c>
      <c r="C464" s="15" t="str">
        <f aca="false">IF(A464="","",IFERROR(INDEX(FX!$B:$B,MATCH(A464,FX!$A:$A,1)),""))</f>
        <v/>
      </c>
      <c r="D464" s="14" t="str">
        <f aca="false">IF(A464="","",SUMIFS(Transactions!$D:$D,Transactions!$A:$A,"&lt;="&amp;A464,Transactions!$B:$B,Settings!$B$1))</f>
        <v/>
      </c>
      <c r="E464" s="14" t="str">
        <f aca="false">IF(A464="","",SUMIFS(Transactions!$C:$C,Transactions!$A:$A,"&lt;="&amp;A464,Transactions!$B:$B,Settings!$B$1)+SUMIFS(Transactions!$F:$F,Transactions!$A:$A,"&lt;="&amp;A464,Transactions!$B:$B,Settings!$B$1))</f>
        <v/>
      </c>
      <c r="F464" s="14" t="str">
        <f aca="false">IF(A464="","",IF(C464="","",D464*B464*C464))</f>
        <v/>
      </c>
      <c r="G464" s="14" t="str">
        <f aca="false">IF(F464="","",F464-E464)</f>
        <v/>
      </c>
      <c r="H464" s="14" t="str">
        <f aca="false">IF(F464="","",IFERROR(F464-F463-(E464-E463),0))</f>
        <v/>
      </c>
    </row>
    <row r="465" customFormat="false" ht="15" hidden="false" customHeight="false" outlineLevel="0" collapsed="false">
      <c r="A465" s="13" t="str">
        <f aca="false">IF(Prices!A465="","",Prices!A465)</f>
        <v/>
      </c>
      <c r="B465" s="14" t="str">
        <f aca="false">IF(A465="","",Prices!C465)</f>
        <v/>
      </c>
      <c r="C465" s="15" t="str">
        <f aca="false">IF(A465="","",IFERROR(INDEX(FX!$B:$B,MATCH(A465,FX!$A:$A,1)),""))</f>
        <v/>
      </c>
      <c r="D465" s="14" t="str">
        <f aca="false">IF(A465="","",SUMIFS(Transactions!$D:$D,Transactions!$A:$A,"&lt;="&amp;A465,Transactions!$B:$B,Settings!$B$1))</f>
        <v/>
      </c>
      <c r="E465" s="14" t="str">
        <f aca="false">IF(A465="","",SUMIFS(Transactions!$C:$C,Transactions!$A:$A,"&lt;="&amp;A465,Transactions!$B:$B,Settings!$B$1)+SUMIFS(Transactions!$F:$F,Transactions!$A:$A,"&lt;="&amp;A465,Transactions!$B:$B,Settings!$B$1))</f>
        <v/>
      </c>
      <c r="F465" s="14" t="str">
        <f aca="false">IF(A465="","",IF(C465="","",D465*B465*C465))</f>
        <v/>
      </c>
      <c r="G465" s="14" t="str">
        <f aca="false">IF(F465="","",F465-E465)</f>
        <v/>
      </c>
      <c r="H465" s="14" t="str">
        <f aca="false">IF(F465="","",IFERROR(F465-F464-(E465-E464),0))</f>
        <v/>
      </c>
    </row>
    <row r="466" customFormat="false" ht="15" hidden="false" customHeight="false" outlineLevel="0" collapsed="false">
      <c r="A466" s="13" t="str">
        <f aca="false">IF(Prices!A466="","",Prices!A466)</f>
        <v/>
      </c>
      <c r="B466" s="14" t="str">
        <f aca="false">IF(A466="","",Prices!C466)</f>
        <v/>
      </c>
      <c r="C466" s="15" t="str">
        <f aca="false">IF(A466="","",IFERROR(INDEX(FX!$B:$B,MATCH(A466,FX!$A:$A,1)),""))</f>
        <v/>
      </c>
      <c r="D466" s="14" t="str">
        <f aca="false">IF(A466="","",SUMIFS(Transactions!$D:$D,Transactions!$A:$A,"&lt;="&amp;A466,Transactions!$B:$B,Settings!$B$1))</f>
        <v/>
      </c>
      <c r="E466" s="14" t="str">
        <f aca="false">IF(A466="","",SUMIFS(Transactions!$C:$C,Transactions!$A:$A,"&lt;="&amp;A466,Transactions!$B:$B,Settings!$B$1)+SUMIFS(Transactions!$F:$F,Transactions!$A:$A,"&lt;="&amp;A466,Transactions!$B:$B,Settings!$B$1))</f>
        <v/>
      </c>
      <c r="F466" s="14" t="str">
        <f aca="false">IF(A466="","",IF(C466="","",D466*B466*C466))</f>
        <v/>
      </c>
      <c r="G466" s="14" t="str">
        <f aca="false">IF(F466="","",F466-E466)</f>
        <v/>
      </c>
      <c r="H466" s="14" t="str">
        <f aca="false">IF(F466="","",IFERROR(F466-F465-(E466-E465),0))</f>
        <v/>
      </c>
    </row>
    <row r="467" customFormat="false" ht="15" hidden="false" customHeight="false" outlineLevel="0" collapsed="false">
      <c r="A467" s="13" t="str">
        <f aca="false">IF(Prices!A467="","",Prices!A467)</f>
        <v/>
      </c>
      <c r="B467" s="14" t="str">
        <f aca="false">IF(A467="","",Prices!C467)</f>
        <v/>
      </c>
      <c r="C467" s="15" t="str">
        <f aca="false">IF(A467="","",IFERROR(INDEX(FX!$B:$B,MATCH(A467,FX!$A:$A,1)),""))</f>
        <v/>
      </c>
      <c r="D467" s="14" t="str">
        <f aca="false">IF(A467="","",SUMIFS(Transactions!$D:$D,Transactions!$A:$A,"&lt;="&amp;A467,Transactions!$B:$B,Settings!$B$1))</f>
        <v/>
      </c>
      <c r="E467" s="14" t="str">
        <f aca="false">IF(A467="","",SUMIFS(Transactions!$C:$C,Transactions!$A:$A,"&lt;="&amp;A467,Transactions!$B:$B,Settings!$B$1)+SUMIFS(Transactions!$F:$F,Transactions!$A:$A,"&lt;="&amp;A467,Transactions!$B:$B,Settings!$B$1))</f>
        <v/>
      </c>
      <c r="F467" s="14" t="str">
        <f aca="false">IF(A467="","",IF(C467="","",D467*B467*C467))</f>
        <v/>
      </c>
      <c r="G467" s="14" t="str">
        <f aca="false">IF(F467="","",F467-E467)</f>
        <v/>
      </c>
      <c r="H467" s="14" t="str">
        <f aca="false">IF(F467="","",IFERROR(F467-F466-(E467-E466),0))</f>
        <v/>
      </c>
    </row>
    <row r="468" customFormat="false" ht="15" hidden="false" customHeight="false" outlineLevel="0" collapsed="false">
      <c r="A468" s="13" t="str">
        <f aca="false">IF(Prices!A468="","",Prices!A468)</f>
        <v/>
      </c>
      <c r="B468" s="14" t="str">
        <f aca="false">IF(A468="","",Prices!C468)</f>
        <v/>
      </c>
      <c r="C468" s="15" t="str">
        <f aca="false">IF(A468="","",IFERROR(INDEX(FX!$B:$B,MATCH(A468,FX!$A:$A,1)),""))</f>
        <v/>
      </c>
      <c r="D468" s="14" t="str">
        <f aca="false">IF(A468="","",SUMIFS(Transactions!$D:$D,Transactions!$A:$A,"&lt;="&amp;A468,Transactions!$B:$B,Settings!$B$1))</f>
        <v/>
      </c>
      <c r="E468" s="14" t="str">
        <f aca="false">IF(A468="","",SUMIFS(Transactions!$C:$C,Transactions!$A:$A,"&lt;="&amp;A468,Transactions!$B:$B,Settings!$B$1)+SUMIFS(Transactions!$F:$F,Transactions!$A:$A,"&lt;="&amp;A468,Transactions!$B:$B,Settings!$B$1))</f>
        <v/>
      </c>
      <c r="F468" s="14" t="str">
        <f aca="false">IF(A468="","",IF(C468="","",D468*B468*C468))</f>
        <v/>
      </c>
      <c r="G468" s="14" t="str">
        <f aca="false">IF(F468="","",F468-E468)</f>
        <v/>
      </c>
      <c r="H468" s="14" t="str">
        <f aca="false">IF(F468="","",IFERROR(F468-F467-(E468-E467),0))</f>
        <v/>
      </c>
    </row>
    <row r="469" customFormat="false" ht="15" hidden="false" customHeight="false" outlineLevel="0" collapsed="false">
      <c r="A469" s="13" t="str">
        <f aca="false">IF(Prices!A469="","",Prices!A469)</f>
        <v/>
      </c>
      <c r="B469" s="14" t="str">
        <f aca="false">IF(A469="","",Prices!C469)</f>
        <v/>
      </c>
      <c r="C469" s="15" t="str">
        <f aca="false">IF(A469="","",IFERROR(INDEX(FX!$B:$B,MATCH(A469,FX!$A:$A,1)),""))</f>
        <v/>
      </c>
      <c r="D469" s="14" t="str">
        <f aca="false">IF(A469="","",SUMIFS(Transactions!$D:$D,Transactions!$A:$A,"&lt;="&amp;A469,Transactions!$B:$B,Settings!$B$1))</f>
        <v/>
      </c>
      <c r="E469" s="14" t="str">
        <f aca="false">IF(A469="","",SUMIFS(Transactions!$C:$C,Transactions!$A:$A,"&lt;="&amp;A469,Transactions!$B:$B,Settings!$B$1)+SUMIFS(Transactions!$F:$F,Transactions!$A:$A,"&lt;="&amp;A469,Transactions!$B:$B,Settings!$B$1))</f>
        <v/>
      </c>
      <c r="F469" s="14" t="str">
        <f aca="false">IF(A469="","",IF(C469="","",D469*B469*C469))</f>
        <v/>
      </c>
      <c r="G469" s="14" t="str">
        <f aca="false">IF(F469="","",F469-E469)</f>
        <v/>
      </c>
      <c r="H469" s="14" t="str">
        <f aca="false">IF(F469="","",IFERROR(F469-F468-(E469-E468),0))</f>
        <v/>
      </c>
    </row>
    <row r="470" customFormat="false" ht="15" hidden="false" customHeight="false" outlineLevel="0" collapsed="false">
      <c r="A470" s="13" t="str">
        <f aca="false">IF(Prices!A470="","",Prices!A470)</f>
        <v/>
      </c>
      <c r="B470" s="14" t="str">
        <f aca="false">IF(A470="","",Prices!C470)</f>
        <v/>
      </c>
      <c r="C470" s="15" t="str">
        <f aca="false">IF(A470="","",IFERROR(INDEX(FX!$B:$B,MATCH(A470,FX!$A:$A,1)),""))</f>
        <v/>
      </c>
      <c r="D470" s="14" t="str">
        <f aca="false">IF(A470="","",SUMIFS(Transactions!$D:$D,Transactions!$A:$A,"&lt;="&amp;A470,Transactions!$B:$B,Settings!$B$1))</f>
        <v/>
      </c>
      <c r="E470" s="14" t="str">
        <f aca="false">IF(A470="","",SUMIFS(Transactions!$C:$C,Transactions!$A:$A,"&lt;="&amp;A470,Transactions!$B:$B,Settings!$B$1)+SUMIFS(Transactions!$F:$F,Transactions!$A:$A,"&lt;="&amp;A470,Transactions!$B:$B,Settings!$B$1))</f>
        <v/>
      </c>
      <c r="F470" s="14" t="str">
        <f aca="false">IF(A470="","",IF(C470="","",D470*B470*C470))</f>
        <v/>
      </c>
      <c r="G470" s="14" t="str">
        <f aca="false">IF(F470="","",F470-E470)</f>
        <v/>
      </c>
      <c r="H470" s="14" t="str">
        <f aca="false">IF(F470="","",IFERROR(F470-F469-(E470-E469),0))</f>
        <v/>
      </c>
    </row>
    <row r="471" customFormat="false" ht="15" hidden="false" customHeight="false" outlineLevel="0" collapsed="false">
      <c r="A471" s="13" t="str">
        <f aca="false">IF(Prices!A471="","",Prices!A471)</f>
        <v/>
      </c>
      <c r="B471" s="14" t="str">
        <f aca="false">IF(A471="","",Prices!C471)</f>
        <v/>
      </c>
      <c r="C471" s="15" t="str">
        <f aca="false">IF(A471="","",IFERROR(INDEX(FX!$B:$B,MATCH(A471,FX!$A:$A,1)),""))</f>
        <v/>
      </c>
      <c r="D471" s="14" t="str">
        <f aca="false">IF(A471="","",SUMIFS(Transactions!$D:$D,Transactions!$A:$A,"&lt;="&amp;A471,Transactions!$B:$B,Settings!$B$1))</f>
        <v/>
      </c>
      <c r="E471" s="14" t="str">
        <f aca="false">IF(A471="","",SUMIFS(Transactions!$C:$C,Transactions!$A:$A,"&lt;="&amp;A471,Transactions!$B:$B,Settings!$B$1)+SUMIFS(Transactions!$F:$F,Transactions!$A:$A,"&lt;="&amp;A471,Transactions!$B:$B,Settings!$B$1))</f>
        <v/>
      </c>
      <c r="F471" s="14" t="str">
        <f aca="false">IF(A471="","",IF(C471="","",D471*B471*C471))</f>
        <v/>
      </c>
      <c r="G471" s="14" t="str">
        <f aca="false">IF(F471="","",F471-E471)</f>
        <v/>
      </c>
      <c r="H471" s="14" t="str">
        <f aca="false">IF(F471="","",IFERROR(F471-F470-(E471-E470),0))</f>
        <v/>
      </c>
    </row>
    <row r="472" customFormat="false" ht="15" hidden="false" customHeight="false" outlineLevel="0" collapsed="false">
      <c r="A472" s="13" t="str">
        <f aca="false">IF(Prices!A472="","",Prices!A472)</f>
        <v/>
      </c>
      <c r="B472" s="14" t="str">
        <f aca="false">IF(A472="","",Prices!C472)</f>
        <v/>
      </c>
      <c r="C472" s="15" t="str">
        <f aca="false">IF(A472="","",IFERROR(INDEX(FX!$B:$B,MATCH(A472,FX!$A:$A,1)),""))</f>
        <v/>
      </c>
      <c r="D472" s="14" t="str">
        <f aca="false">IF(A472="","",SUMIFS(Transactions!$D:$D,Transactions!$A:$A,"&lt;="&amp;A472,Transactions!$B:$B,Settings!$B$1))</f>
        <v/>
      </c>
      <c r="E472" s="14" t="str">
        <f aca="false">IF(A472="","",SUMIFS(Transactions!$C:$C,Transactions!$A:$A,"&lt;="&amp;A472,Transactions!$B:$B,Settings!$B$1)+SUMIFS(Transactions!$F:$F,Transactions!$A:$A,"&lt;="&amp;A472,Transactions!$B:$B,Settings!$B$1))</f>
        <v/>
      </c>
      <c r="F472" s="14" t="str">
        <f aca="false">IF(A472="","",IF(C472="","",D472*B472*C472))</f>
        <v/>
      </c>
      <c r="G472" s="14" t="str">
        <f aca="false">IF(F472="","",F472-E472)</f>
        <v/>
      </c>
      <c r="H472" s="14" t="str">
        <f aca="false">IF(F472="","",IFERROR(F472-F471-(E472-E471),0))</f>
        <v/>
      </c>
    </row>
    <row r="473" customFormat="false" ht="15" hidden="false" customHeight="false" outlineLevel="0" collapsed="false">
      <c r="A473" s="13" t="str">
        <f aca="false">IF(Prices!A473="","",Prices!A473)</f>
        <v/>
      </c>
      <c r="B473" s="14" t="str">
        <f aca="false">IF(A473="","",Prices!C473)</f>
        <v/>
      </c>
      <c r="C473" s="15" t="str">
        <f aca="false">IF(A473="","",IFERROR(INDEX(FX!$B:$B,MATCH(A473,FX!$A:$A,1)),""))</f>
        <v/>
      </c>
      <c r="D473" s="14" t="str">
        <f aca="false">IF(A473="","",SUMIFS(Transactions!$D:$D,Transactions!$A:$A,"&lt;="&amp;A473,Transactions!$B:$B,Settings!$B$1))</f>
        <v/>
      </c>
      <c r="E473" s="14" t="str">
        <f aca="false">IF(A473="","",SUMIFS(Transactions!$C:$C,Transactions!$A:$A,"&lt;="&amp;A473,Transactions!$B:$B,Settings!$B$1)+SUMIFS(Transactions!$F:$F,Transactions!$A:$A,"&lt;="&amp;A473,Transactions!$B:$B,Settings!$B$1))</f>
        <v/>
      </c>
      <c r="F473" s="14" t="str">
        <f aca="false">IF(A473="","",IF(C473="","",D473*B473*C473))</f>
        <v/>
      </c>
      <c r="G473" s="14" t="str">
        <f aca="false">IF(F473="","",F473-E473)</f>
        <v/>
      </c>
      <c r="H473" s="14" t="str">
        <f aca="false">IF(F473="","",IFERROR(F473-F472-(E473-E472),0))</f>
        <v/>
      </c>
    </row>
    <row r="474" customFormat="false" ht="15" hidden="false" customHeight="false" outlineLevel="0" collapsed="false">
      <c r="A474" s="13" t="str">
        <f aca="false">IF(Prices!A474="","",Prices!A474)</f>
        <v/>
      </c>
      <c r="B474" s="14" t="str">
        <f aca="false">IF(A474="","",Prices!C474)</f>
        <v/>
      </c>
      <c r="C474" s="15" t="str">
        <f aca="false">IF(A474="","",IFERROR(INDEX(FX!$B:$B,MATCH(A474,FX!$A:$A,1)),""))</f>
        <v/>
      </c>
      <c r="D474" s="14" t="str">
        <f aca="false">IF(A474="","",SUMIFS(Transactions!$D:$D,Transactions!$A:$A,"&lt;="&amp;A474,Transactions!$B:$B,Settings!$B$1))</f>
        <v/>
      </c>
      <c r="E474" s="14" t="str">
        <f aca="false">IF(A474="","",SUMIFS(Transactions!$C:$C,Transactions!$A:$A,"&lt;="&amp;A474,Transactions!$B:$B,Settings!$B$1)+SUMIFS(Transactions!$F:$F,Transactions!$A:$A,"&lt;="&amp;A474,Transactions!$B:$B,Settings!$B$1))</f>
        <v/>
      </c>
      <c r="F474" s="14" t="str">
        <f aca="false">IF(A474="","",IF(C474="","",D474*B474*C474))</f>
        <v/>
      </c>
      <c r="G474" s="14" t="str">
        <f aca="false">IF(F474="","",F474-E474)</f>
        <v/>
      </c>
      <c r="H474" s="14" t="str">
        <f aca="false">IF(F474="","",IFERROR(F474-F473-(E474-E473),0))</f>
        <v/>
      </c>
    </row>
    <row r="475" customFormat="false" ht="15" hidden="false" customHeight="false" outlineLevel="0" collapsed="false">
      <c r="A475" s="13" t="str">
        <f aca="false">IF(Prices!A475="","",Prices!A475)</f>
        <v/>
      </c>
      <c r="B475" s="14" t="str">
        <f aca="false">IF(A475="","",Prices!C475)</f>
        <v/>
      </c>
      <c r="C475" s="15" t="str">
        <f aca="false">IF(A475="","",IFERROR(INDEX(FX!$B:$B,MATCH(A475,FX!$A:$A,1)),""))</f>
        <v/>
      </c>
      <c r="D475" s="14" t="str">
        <f aca="false">IF(A475="","",SUMIFS(Transactions!$D:$D,Transactions!$A:$A,"&lt;="&amp;A475,Transactions!$B:$B,Settings!$B$1))</f>
        <v/>
      </c>
      <c r="E475" s="14" t="str">
        <f aca="false">IF(A475="","",SUMIFS(Transactions!$C:$C,Transactions!$A:$A,"&lt;="&amp;A475,Transactions!$B:$B,Settings!$B$1)+SUMIFS(Transactions!$F:$F,Transactions!$A:$A,"&lt;="&amp;A475,Transactions!$B:$B,Settings!$B$1))</f>
        <v/>
      </c>
      <c r="F475" s="14" t="str">
        <f aca="false">IF(A475="","",IF(C475="","",D475*B475*C475))</f>
        <v/>
      </c>
      <c r="G475" s="14" t="str">
        <f aca="false">IF(F475="","",F475-E475)</f>
        <v/>
      </c>
      <c r="H475" s="14" t="str">
        <f aca="false">IF(F475="","",IFERROR(F475-F474-(E475-E474),0))</f>
        <v/>
      </c>
    </row>
    <row r="476" customFormat="false" ht="15" hidden="false" customHeight="false" outlineLevel="0" collapsed="false">
      <c r="A476" s="13" t="str">
        <f aca="false">IF(Prices!A476="","",Prices!A476)</f>
        <v/>
      </c>
      <c r="B476" s="14" t="str">
        <f aca="false">IF(A476="","",Prices!C476)</f>
        <v/>
      </c>
      <c r="C476" s="15" t="str">
        <f aca="false">IF(A476="","",IFERROR(INDEX(FX!$B:$B,MATCH(A476,FX!$A:$A,1)),""))</f>
        <v/>
      </c>
      <c r="D476" s="14" t="str">
        <f aca="false">IF(A476="","",SUMIFS(Transactions!$D:$D,Transactions!$A:$A,"&lt;="&amp;A476,Transactions!$B:$B,Settings!$B$1))</f>
        <v/>
      </c>
      <c r="E476" s="14" t="str">
        <f aca="false">IF(A476="","",SUMIFS(Transactions!$C:$C,Transactions!$A:$A,"&lt;="&amp;A476,Transactions!$B:$B,Settings!$B$1)+SUMIFS(Transactions!$F:$F,Transactions!$A:$A,"&lt;="&amp;A476,Transactions!$B:$B,Settings!$B$1))</f>
        <v/>
      </c>
      <c r="F476" s="14" t="str">
        <f aca="false">IF(A476="","",IF(C476="","",D476*B476*C476))</f>
        <v/>
      </c>
      <c r="G476" s="14" t="str">
        <f aca="false">IF(F476="","",F476-E476)</f>
        <v/>
      </c>
      <c r="H476" s="14" t="str">
        <f aca="false">IF(F476="","",IFERROR(F476-F475-(E476-E475),0))</f>
        <v/>
      </c>
    </row>
    <row r="477" customFormat="false" ht="15" hidden="false" customHeight="false" outlineLevel="0" collapsed="false">
      <c r="A477" s="13" t="str">
        <f aca="false">IF(Prices!A477="","",Prices!A477)</f>
        <v/>
      </c>
      <c r="B477" s="14" t="str">
        <f aca="false">IF(A477="","",Prices!C477)</f>
        <v/>
      </c>
      <c r="C477" s="15" t="str">
        <f aca="false">IF(A477="","",IFERROR(INDEX(FX!$B:$B,MATCH(A477,FX!$A:$A,1)),""))</f>
        <v/>
      </c>
      <c r="D477" s="14" t="str">
        <f aca="false">IF(A477="","",SUMIFS(Transactions!$D:$D,Transactions!$A:$A,"&lt;="&amp;A477,Transactions!$B:$B,Settings!$B$1))</f>
        <v/>
      </c>
      <c r="E477" s="14" t="str">
        <f aca="false">IF(A477="","",SUMIFS(Transactions!$C:$C,Transactions!$A:$A,"&lt;="&amp;A477,Transactions!$B:$B,Settings!$B$1)+SUMIFS(Transactions!$F:$F,Transactions!$A:$A,"&lt;="&amp;A477,Transactions!$B:$B,Settings!$B$1))</f>
        <v/>
      </c>
      <c r="F477" s="14" t="str">
        <f aca="false">IF(A477="","",IF(C477="","",D477*B477*C477))</f>
        <v/>
      </c>
      <c r="G477" s="14" t="str">
        <f aca="false">IF(F477="","",F477-E477)</f>
        <v/>
      </c>
      <c r="H477" s="14" t="str">
        <f aca="false">IF(F477="","",IFERROR(F477-F476-(E477-E476),0))</f>
        <v/>
      </c>
    </row>
    <row r="478" customFormat="false" ht="15" hidden="false" customHeight="false" outlineLevel="0" collapsed="false">
      <c r="A478" s="13" t="str">
        <f aca="false">IF(Prices!A478="","",Prices!A478)</f>
        <v/>
      </c>
      <c r="B478" s="14" t="str">
        <f aca="false">IF(A478="","",Prices!C478)</f>
        <v/>
      </c>
      <c r="C478" s="15" t="str">
        <f aca="false">IF(A478="","",IFERROR(INDEX(FX!$B:$B,MATCH(A478,FX!$A:$A,1)),""))</f>
        <v/>
      </c>
      <c r="D478" s="14" t="str">
        <f aca="false">IF(A478="","",SUMIFS(Transactions!$D:$D,Transactions!$A:$A,"&lt;="&amp;A478,Transactions!$B:$B,Settings!$B$1))</f>
        <v/>
      </c>
      <c r="E478" s="14" t="str">
        <f aca="false">IF(A478="","",SUMIFS(Transactions!$C:$C,Transactions!$A:$A,"&lt;="&amp;A478,Transactions!$B:$B,Settings!$B$1)+SUMIFS(Transactions!$F:$F,Transactions!$A:$A,"&lt;="&amp;A478,Transactions!$B:$B,Settings!$B$1))</f>
        <v/>
      </c>
      <c r="F478" s="14" t="str">
        <f aca="false">IF(A478="","",IF(C478="","",D478*B478*C478))</f>
        <v/>
      </c>
      <c r="G478" s="14" t="str">
        <f aca="false">IF(F478="","",F478-E478)</f>
        <v/>
      </c>
      <c r="H478" s="14" t="str">
        <f aca="false">IF(F478="","",IFERROR(F478-F477-(E478-E477),0))</f>
        <v/>
      </c>
    </row>
    <row r="479" customFormat="false" ht="15" hidden="false" customHeight="false" outlineLevel="0" collapsed="false">
      <c r="A479" s="13" t="str">
        <f aca="false">IF(Prices!A479="","",Prices!A479)</f>
        <v/>
      </c>
      <c r="B479" s="14" t="str">
        <f aca="false">IF(A479="","",Prices!C479)</f>
        <v/>
      </c>
      <c r="C479" s="15" t="str">
        <f aca="false">IF(A479="","",IFERROR(INDEX(FX!$B:$B,MATCH(A479,FX!$A:$A,1)),""))</f>
        <v/>
      </c>
      <c r="D479" s="14" t="str">
        <f aca="false">IF(A479="","",SUMIFS(Transactions!$D:$D,Transactions!$A:$A,"&lt;="&amp;A479,Transactions!$B:$B,Settings!$B$1))</f>
        <v/>
      </c>
      <c r="E479" s="14" t="str">
        <f aca="false">IF(A479="","",SUMIFS(Transactions!$C:$C,Transactions!$A:$A,"&lt;="&amp;A479,Transactions!$B:$B,Settings!$B$1)+SUMIFS(Transactions!$F:$F,Transactions!$A:$A,"&lt;="&amp;A479,Transactions!$B:$B,Settings!$B$1))</f>
        <v/>
      </c>
      <c r="F479" s="14" t="str">
        <f aca="false">IF(A479="","",IF(C479="","",D479*B479*C479))</f>
        <v/>
      </c>
      <c r="G479" s="14" t="str">
        <f aca="false">IF(F479="","",F479-E479)</f>
        <v/>
      </c>
      <c r="H479" s="14" t="str">
        <f aca="false">IF(F479="","",IFERROR(F479-F478-(E479-E478),0))</f>
        <v/>
      </c>
    </row>
    <row r="480" customFormat="false" ht="15" hidden="false" customHeight="false" outlineLevel="0" collapsed="false">
      <c r="A480" s="13" t="str">
        <f aca="false">IF(Prices!A480="","",Prices!A480)</f>
        <v/>
      </c>
      <c r="B480" s="14" t="str">
        <f aca="false">IF(A480="","",Prices!C480)</f>
        <v/>
      </c>
      <c r="C480" s="15" t="str">
        <f aca="false">IF(A480="","",IFERROR(INDEX(FX!$B:$B,MATCH(A480,FX!$A:$A,1)),""))</f>
        <v/>
      </c>
      <c r="D480" s="14" t="str">
        <f aca="false">IF(A480="","",SUMIFS(Transactions!$D:$D,Transactions!$A:$A,"&lt;="&amp;A480,Transactions!$B:$B,Settings!$B$1))</f>
        <v/>
      </c>
      <c r="E480" s="14" t="str">
        <f aca="false">IF(A480="","",SUMIFS(Transactions!$C:$C,Transactions!$A:$A,"&lt;="&amp;A480,Transactions!$B:$B,Settings!$B$1)+SUMIFS(Transactions!$F:$F,Transactions!$A:$A,"&lt;="&amp;A480,Transactions!$B:$B,Settings!$B$1))</f>
        <v/>
      </c>
      <c r="F480" s="14" t="str">
        <f aca="false">IF(A480="","",IF(C480="","",D480*B480*C480))</f>
        <v/>
      </c>
      <c r="G480" s="14" t="str">
        <f aca="false">IF(F480="","",F480-E480)</f>
        <v/>
      </c>
      <c r="H480" s="14" t="str">
        <f aca="false">IF(F480="","",IFERROR(F480-F479-(E480-E479),0))</f>
        <v/>
      </c>
    </row>
    <row r="481" customFormat="false" ht="15" hidden="false" customHeight="false" outlineLevel="0" collapsed="false">
      <c r="A481" s="13" t="str">
        <f aca="false">IF(Prices!A481="","",Prices!A481)</f>
        <v/>
      </c>
      <c r="B481" s="14" t="str">
        <f aca="false">IF(A481="","",Prices!C481)</f>
        <v/>
      </c>
      <c r="C481" s="15" t="str">
        <f aca="false">IF(A481="","",IFERROR(INDEX(FX!$B:$B,MATCH(A481,FX!$A:$A,1)),""))</f>
        <v/>
      </c>
      <c r="D481" s="14" t="str">
        <f aca="false">IF(A481="","",SUMIFS(Transactions!$D:$D,Transactions!$A:$A,"&lt;="&amp;A481,Transactions!$B:$B,Settings!$B$1))</f>
        <v/>
      </c>
      <c r="E481" s="14" t="str">
        <f aca="false">IF(A481="","",SUMIFS(Transactions!$C:$C,Transactions!$A:$A,"&lt;="&amp;A481,Transactions!$B:$B,Settings!$B$1)+SUMIFS(Transactions!$F:$F,Transactions!$A:$A,"&lt;="&amp;A481,Transactions!$B:$B,Settings!$B$1))</f>
        <v/>
      </c>
      <c r="F481" s="14" t="str">
        <f aca="false">IF(A481="","",IF(C481="","",D481*B481*C481))</f>
        <v/>
      </c>
      <c r="G481" s="14" t="str">
        <f aca="false">IF(F481="","",F481-E481)</f>
        <v/>
      </c>
      <c r="H481" s="14" t="str">
        <f aca="false">IF(F481="","",IFERROR(F481-F480-(E481-E480),0))</f>
        <v/>
      </c>
    </row>
    <row r="482" customFormat="false" ht="15" hidden="false" customHeight="false" outlineLevel="0" collapsed="false">
      <c r="A482" s="13" t="str">
        <f aca="false">IF(Prices!A482="","",Prices!A482)</f>
        <v/>
      </c>
      <c r="B482" s="14" t="str">
        <f aca="false">IF(A482="","",Prices!C482)</f>
        <v/>
      </c>
      <c r="C482" s="15" t="str">
        <f aca="false">IF(A482="","",IFERROR(INDEX(FX!$B:$B,MATCH(A482,FX!$A:$A,1)),""))</f>
        <v/>
      </c>
      <c r="D482" s="14" t="str">
        <f aca="false">IF(A482="","",SUMIFS(Transactions!$D:$D,Transactions!$A:$A,"&lt;="&amp;A482,Transactions!$B:$B,Settings!$B$1))</f>
        <v/>
      </c>
      <c r="E482" s="14" t="str">
        <f aca="false">IF(A482="","",SUMIFS(Transactions!$C:$C,Transactions!$A:$A,"&lt;="&amp;A482,Transactions!$B:$B,Settings!$B$1)+SUMIFS(Transactions!$F:$F,Transactions!$A:$A,"&lt;="&amp;A482,Transactions!$B:$B,Settings!$B$1))</f>
        <v/>
      </c>
      <c r="F482" s="14" t="str">
        <f aca="false">IF(A482="","",IF(C482="","",D482*B482*C482))</f>
        <v/>
      </c>
      <c r="G482" s="14" t="str">
        <f aca="false">IF(F482="","",F482-E482)</f>
        <v/>
      </c>
      <c r="H482" s="14" t="str">
        <f aca="false">IF(F482="","",IFERROR(F482-F481-(E482-E481),0))</f>
        <v/>
      </c>
    </row>
    <row r="483" customFormat="false" ht="15" hidden="false" customHeight="false" outlineLevel="0" collapsed="false">
      <c r="A483" s="13" t="str">
        <f aca="false">IF(Prices!A483="","",Prices!A483)</f>
        <v/>
      </c>
      <c r="B483" s="14" t="str">
        <f aca="false">IF(A483="","",Prices!C483)</f>
        <v/>
      </c>
      <c r="C483" s="15" t="str">
        <f aca="false">IF(A483="","",IFERROR(INDEX(FX!$B:$B,MATCH(A483,FX!$A:$A,1)),""))</f>
        <v/>
      </c>
      <c r="D483" s="14" t="str">
        <f aca="false">IF(A483="","",SUMIFS(Transactions!$D:$D,Transactions!$A:$A,"&lt;="&amp;A483,Transactions!$B:$B,Settings!$B$1))</f>
        <v/>
      </c>
      <c r="E483" s="14" t="str">
        <f aca="false">IF(A483="","",SUMIFS(Transactions!$C:$C,Transactions!$A:$A,"&lt;="&amp;A483,Transactions!$B:$B,Settings!$B$1)+SUMIFS(Transactions!$F:$F,Transactions!$A:$A,"&lt;="&amp;A483,Transactions!$B:$B,Settings!$B$1))</f>
        <v/>
      </c>
      <c r="F483" s="14" t="str">
        <f aca="false">IF(A483="","",IF(C483="","",D483*B483*C483))</f>
        <v/>
      </c>
      <c r="G483" s="14" t="str">
        <f aca="false">IF(F483="","",F483-E483)</f>
        <v/>
      </c>
      <c r="H483" s="14" t="str">
        <f aca="false">IF(F483="","",IFERROR(F483-F482-(E483-E482),0))</f>
        <v/>
      </c>
    </row>
    <row r="484" customFormat="false" ht="15" hidden="false" customHeight="false" outlineLevel="0" collapsed="false">
      <c r="A484" s="13" t="str">
        <f aca="false">IF(Prices!A484="","",Prices!A484)</f>
        <v/>
      </c>
      <c r="B484" s="14" t="str">
        <f aca="false">IF(A484="","",Prices!C484)</f>
        <v/>
      </c>
      <c r="C484" s="15" t="str">
        <f aca="false">IF(A484="","",IFERROR(INDEX(FX!$B:$B,MATCH(A484,FX!$A:$A,1)),""))</f>
        <v/>
      </c>
      <c r="D484" s="14" t="str">
        <f aca="false">IF(A484="","",SUMIFS(Transactions!$D:$D,Transactions!$A:$A,"&lt;="&amp;A484,Transactions!$B:$B,Settings!$B$1))</f>
        <v/>
      </c>
      <c r="E484" s="14" t="str">
        <f aca="false">IF(A484="","",SUMIFS(Transactions!$C:$C,Transactions!$A:$A,"&lt;="&amp;A484,Transactions!$B:$B,Settings!$B$1)+SUMIFS(Transactions!$F:$F,Transactions!$A:$A,"&lt;="&amp;A484,Transactions!$B:$B,Settings!$B$1))</f>
        <v/>
      </c>
      <c r="F484" s="14" t="str">
        <f aca="false">IF(A484="","",IF(C484="","",D484*B484*C484))</f>
        <v/>
      </c>
      <c r="G484" s="14" t="str">
        <f aca="false">IF(F484="","",F484-E484)</f>
        <v/>
      </c>
      <c r="H484" s="14" t="str">
        <f aca="false">IF(F484="","",IFERROR(F484-F483-(E484-E483),0))</f>
        <v/>
      </c>
    </row>
    <row r="485" customFormat="false" ht="15" hidden="false" customHeight="false" outlineLevel="0" collapsed="false">
      <c r="A485" s="13" t="str">
        <f aca="false">IF(Prices!A485="","",Prices!A485)</f>
        <v/>
      </c>
      <c r="B485" s="14" t="str">
        <f aca="false">IF(A485="","",Prices!C485)</f>
        <v/>
      </c>
      <c r="C485" s="15" t="str">
        <f aca="false">IF(A485="","",IFERROR(INDEX(FX!$B:$B,MATCH(A485,FX!$A:$A,1)),""))</f>
        <v/>
      </c>
      <c r="D485" s="14" t="str">
        <f aca="false">IF(A485="","",SUMIFS(Transactions!$D:$D,Transactions!$A:$A,"&lt;="&amp;A485,Transactions!$B:$B,Settings!$B$1))</f>
        <v/>
      </c>
      <c r="E485" s="14" t="str">
        <f aca="false">IF(A485="","",SUMIFS(Transactions!$C:$C,Transactions!$A:$A,"&lt;="&amp;A485,Transactions!$B:$B,Settings!$B$1)+SUMIFS(Transactions!$F:$F,Transactions!$A:$A,"&lt;="&amp;A485,Transactions!$B:$B,Settings!$B$1))</f>
        <v/>
      </c>
      <c r="F485" s="14" t="str">
        <f aca="false">IF(A485="","",IF(C485="","",D485*B485*C485))</f>
        <v/>
      </c>
      <c r="G485" s="14" t="str">
        <f aca="false">IF(F485="","",F485-E485)</f>
        <v/>
      </c>
      <c r="H485" s="14" t="str">
        <f aca="false">IF(F485="","",IFERROR(F485-F484-(E485-E484),0))</f>
        <v/>
      </c>
    </row>
    <row r="486" customFormat="false" ht="15" hidden="false" customHeight="false" outlineLevel="0" collapsed="false">
      <c r="A486" s="13" t="str">
        <f aca="false">IF(Prices!A486="","",Prices!A486)</f>
        <v/>
      </c>
      <c r="B486" s="14" t="str">
        <f aca="false">IF(A486="","",Prices!C486)</f>
        <v/>
      </c>
      <c r="C486" s="15" t="str">
        <f aca="false">IF(A486="","",IFERROR(INDEX(FX!$B:$B,MATCH(A486,FX!$A:$A,1)),""))</f>
        <v/>
      </c>
      <c r="D486" s="14" t="str">
        <f aca="false">IF(A486="","",SUMIFS(Transactions!$D:$D,Transactions!$A:$A,"&lt;="&amp;A486,Transactions!$B:$B,Settings!$B$1))</f>
        <v/>
      </c>
      <c r="E486" s="14" t="str">
        <f aca="false">IF(A486="","",SUMIFS(Transactions!$C:$C,Transactions!$A:$A,"&lt;="&amp;A486,Transactions!$B:$B,Settings!$B$1)+SUMIFS(Transactions!$F:$F,Transactions!$A:$A,"&lt;="&amp;A486,Transactions!$B:$B,Settings!$B$1))</f>
        <v/>
      </c>
      <c r="F486" s="14" t="str">
        <f aca="false">IF(A486="","",IF(C486="","",D486*B486*C486))</f>
        <v/>
      </c>
      <c r="G486" s="14" t="str">
        <f aca="false">IF(F486="","",F486-E486)</f>
        <v/>
      </c>
      <c r="H486" s="14" t="str">
        <f aca="false">IF(F486="","",IFERROR(F486-F485-(E486-E485),0))</f>
        <v/>
      </c>
    </row>
    <row r="487" customFormat="false" ht="15" hidden="false" customHeight="false" outlineLevel="0" collapsed="false">
      <c r="A487" s="13" t="str">
        <f aca="false">IF(Prices!A487="","",Prices!A487)</f>
        <v/>
      </c>
      <c r="B487" s="14" t="str">
        <f aca="false">IF(A487="","",Prices!C487)</f>
        <v/>
      </c>
      <c r="C487" s="15" t="str">
        <f aca="false">IF(A487="","",IFERROR(INDEX(FX!$B:$B,MATCH(A487,FX!$A:$A,1)),""))</f>
        <v/>
      </c>
      <c r="D487" s="14" t="str">
        <f aca="false">IF(A487="","",SUMIFS(Transactions!$D:$D,Transactions!$A:$A,"&lt;="&amp;A487,Transactions!$B:$B,Settings!$B$1))</f>
        <v/>
      </c>
      <c r="E487" s="14" t="str">
        <f aca="false">IF(A487="","",SUMIFS(Transactions!$C:$C,Transactions!$A:$A,"&lt;="&amp;A487,Transactions!$B:$B,Settings!$B$1)+SUMIFS(Transactions!$F:$F,Transactions!$A:$A,"&lt;="&amp;A487,Transactions!$B:$B,Settings!$B$1))</f>
        <v/>
      </c>
      <c r="F487" s="14" t="str">
        <f aca="false">IF(A487="","",IF(C487="","",D487*B487*C487))</f>
        <v/>
      </c>
      <c r="G487" s="14" t="str">
        <f aca="false">IF(F487="","",F487-E487)</f>
        <v/>
      </c>
      <c r="H487" s="14" t="str">
        <f aca="false">IF(F487="","",IFERROR(F487-F486-(E487-E486),0))</f>
        <v/>
      </c>
    </row>
    <row r="488" customFormat="false" ht="15" hidden="false" customHeight="false" outlineLevel="0" collapsed="false">
      <c r="A488" s="13" t="str">
        <f aca="false">IF(Prices!A488="","",Prices!A488)</f>
        <v/>
      </c>
      <c r="B488" s="14" t="str">
        <f aca="false">IF(A488="","",Prices!C488)</f>
        <v/>
      </c>
      <c r="C488" s="15" t="str">
        <f aca="false">IF(A488="","",IFERROR(INDEX(FX!$B:$B,MATCH(A488,FX!$A:$A,1)),""))</f>
        <v/>
      </c>
      <c r="D488" s="14" t="str">
        <f aca="false">IF(A488="","",SUMIFS(Transactions!$D:$D,Transactions!$A:$A,"&lt;="&amp;A488,Transactions!$B:$B,Settings!$B$1))</f>
        <v/>
      </c>
      <c r="E488" s="14" t="str">
        <f aca="false">IF(A488="","",SUMIFS(Transactions!$C:$C,Transactions!$A:$A,"&lt;="&amp;A488,Transactions!$B:$B,Settings!$B$1)+SUMIFS(Transactions!$F:$F,Transactions!$A:$A,"&lt;="&amp;A488,Transactions!$B:$B,Settings!$B$1))</f>
        <v/>
      </c>
      <c r="F488" s="14" t="str">
        <f aca="false">IF(A488="","",IF(C488="","",D488*B488*C488))</f>
        <v/>
      </c>
      <c r="G488" s="14" t="str">
        <f aca="false">IF(F488="","",F488-E488)</f>
        <v/>
      </c>
      <c r="H488" s="14" t="str">
        <f aca="false">IF(F488="","",IFERROR(F488-F487-(E488-E487),0))</f>
        <v/>
      </c>
    </row>
    <row r="489" customFormat="false" ht="15" hidden="false" customHeight="false" outlineLevel="0" collapsed="false">
      <c r="A489" s="13" t="str">
        <f aca="false">IF(Prices!A489="","",Prices!A489)</f>
        <v/>
      </c>
      <c r="B489" s="14" t="str">
        <f aca="false">IF(A489="","",Prices!C489)</f>
        <v/>
      </c>
      <c r="C489" s="15" t="str">
        <f aca="false">IF(A489="","",IFERROR(INDEX(FX!$B:$B,MATCH(A489,FX!$A:$A,1)),""))</f>
        <v/>
      </c>
      <c r="D489" s="14" t="str">
        <f aca="false">IF(A489="","",SUMIFS(Transactions!$D:$D,Transactions!$A:$A,"&lt;="&amp;A489,Transactions!$B:$B,Settings!$B$1))</f>
        <v/>
      </c>
      <c r="E489" s="14" t="str">
        <f aca="false">IF(A489="","",SUMIFS(Transactions!$C:$C,Transactions!$A:$A,"&lt;="&amp;A489,Transactions!$B:$B,Settings!$B$1)+SUMIFS(Transactions!$F:$F,Transactions!$A:$A,"&lt;="&amp;A489,Transactions!$B:$B,Settings!$B$1))</f>
        <v/>
      </c>
      <c r="F489" s="14" t="str">
        <f aca="false">IF(A489="","",IF(C489="","",D489*B489*C489))</f>
        <v/>
      </c>
      <c r="G489" s="14" t="str">
        <f aca="false">IF(F489="","",F489-E489)</f>
        <v/>
      </c>
      <c r="H489" s="14" t="str">
        <f aca="false">IF(F489="","",IFERROR(F489-F488-(E489-E488),0))</f>
        <v/>
      </c>
    </row>
    <row r="490" customFormat="false" ht="15" hidden="false" customHeight="false" outlineLevel="0" collapsed="false">
      <c r="A490" s="13" t="str">
        <f aca="false">IF(Prices!A490="","",Prices!A490)</f>
        <v/>
      </c>
      <c r="B490" s="14" t="str">
        <f aca="false">IF(A490="","",Prices!C490)</f>
        <v/>
      </c>
      <c r="C490" s="15" t="str">
        <f aca="false">IF(A490="","",IFERROR(INDEX(FX!$B:$B,MATCH(A490,FX!$A:$A,1)),""))</f>
        <v/>
      </c>
      <c r="D490" s="14" t="str">
        <f aca="false">IF(A490="","",SUMIFS(Transactions!$D:$D,Transactions!$A:$A,"&lt;="&amp;A490,Transactions!$B:$B,Settings!$B$1))</f>
        <v/>
      </c>
      <c r="E490" s="14" t="str">
        <f aca="false">IF(A490="","",SUMIFS(Transactions!$C:$C,Transactions!$A:$A,"&lt;="&amp;A490,Transactions!$B:$B,Settings!$B$1)+SUMIFS(Transactions!$F:$F,Transactions!$A:$A,"&lt;="&amp;A490,Transactions!$B:$B,Settings!$B$1))</f>
        <v/>
      </c>
      <c r="F490" s="14" t="str">
        <f aca="false">IF(A490="","",IF(C490="","",D490*B490*C490))</f>
        <v/>
      </c>
      <c r="G490" s="14" t="str">
        <f aca="false">IF(F490="","",F490-E490)</f>
        <v/>
      </c>
      <c r="H490" s="14" t="str">
        <f aca="false">IF(F490="","",IFERROR(F490-F489-(E490-E489),0))</f>
        <v/>
      </c>
    </row>
    <row r="491" customFormat="false" ht="15" hidden="false" customHeight="false" outlineLevel="0" collapsed="false">
      <c r="A491" s="13" t="str">
        <f aca="false">IF(Prices!A491="","",Prices!A491)</f>
        <v/>
      </c>
      <c r="B491" s="14" t="str">
        <f aca="false">IF(A491="","",Prices!C491)</f>
        <v/>
      </c>
      <c r="C491" s="15" t="str">
        <f aca="false">IF(A491="","",IFERROR(INDEX(FX!$B:$B,MATCH(A491,FX!$A:$A,1)),""))</f>
        <v/>
      </c>
      <c r="D491" s="14" t="str">
        <f aca="false">IF(A491="","",SUMIFS(Transactions!$D:$D,Transactions!$A:$A,"&lt;="&amp;A491,Transactions!$B:$B,Settings!$B$1))</f>
        <v/>
      </c>
      <c r="E491" s="14" t="str">
        <f aca="false">IF(A491="","",SUMIFS(Transactions!$C:$C,Transactions!$A:$A,"&lt;="&amp;A491,Transactions!$B:$B,Settings!$B$1)+SUMIFS(Transactions!$F:$F,Transactions!$A:$A,"&lt;="&amp;A491,Transactions!$B:$B,Settings!$B$1))</f>
        <v/>
      </c>
      <c r="F491" s="14" t="str">
        <f aca="false">IF(A491="","",IF(C491="","",D491*B491*C491))</f>
        <v/>
      </c>
      <c r="G491" s="14" t="str">
        <f aca="false">IF(F491="","",F491-E491)</f>
        <v/>
      </c>
      <c r="H491" s="14" t="str">
        <f aca="false">IF(F491="","",IFERROR(F491-F490-(E491-E490),0))</f>
        <v/>
      </c>
    </row>
    <row r="492" customFormat="false" ht="15" hidden="false" customHeight="false" outlineLevel="0" collapsed="false">
      <c r="A492" s="13" t="str">
        <f aca="false">IF(Prices!A492="","",Prices!A492)</f>
        <v/>
      </c>
      <c r="B492" s="14" t="str">
        <f aca="false">IF(A492="","",Prices!C492)</f>
        <v/>
      </c>
      <c r="C492" s="15" t="str">
        <f aca="false">IF(A492="","",IFERROR(INDEX(FX!$B:$B,MATCH(A492,FX!$A:$A,1)),""))</f>
        <v/>
      </c>
      <c r="D492" s="14" t="str">
        <f aca="false">IF(A492="","",SUMIFS(Transactions!$D:$D,Transactions!$A:$A,"&lt;="&amp;A492,Transactions!$B:$B,Settings!$B$1))</f>
        <v/>
      </c>
      <c r="E492" s="14" t="str">
        <f aca="false">IF(A492="","",SUMIFS(Transactions!$C:$C,Transactions!$A:$A,"&lt;="&amp;A492,Transactions!$B:$B,Settings!$B$1)+SUMIFS(Transactions!$F:$F,Transactions!$A:$A,"&lt;="&amp;A492,Transactions!$B:$B,Settings!$B$1))</f>
        <v/>
      </c>
      <c r="F492" s="14" t="str">
        <f aca="false">IF(A492="","",IF(C492="","",D492*B492*C492))</f>
        <v/>
      </c>
      <c r="G492" s="14" t="str">
        <f aca="false">IF(F492="","",F492-E492)</f>
        <v/>
      </c>
      <c r="H492" s="14" t="str">
        <f aca="false">IF(F492="","",IFERROR(F492-F491-(E492-E491),0))</f>
        <v/>
      </c>
    </row>
    <row r="493" customFormat="false" ht="15" hidden="false" customHeight="false" outlineLevel="0" collapsed="false">
      <c r="A493" s="13" t="str">
        <f aca="false">IF(Prices!A493="","",Prices!A493)</f>
        <v/>
      </c>
      <c r="B493" s="14" t="str">
        <f aca="false">IF(A493="","",Prices!C493)</f>
        <v/>
      </c>
      <c r="C493" s="15" t="str">
        <f aca="false">IF(A493="","",IFERROR(INDEX(FX!$B:$B,MATCH(A493,FX!$A:$A,1)),""))</f>
        <v/>
      </c>
      <c r="D493" s="14" t="str">
        <f aca="false">IF(A493="","",SUMIFS(Transactions!$D:$D,Transactions!$A:$A,"&lt;="&amp;A493,Transactions!$B:$B,Settings!$B$1))</f>
        <v/>
      </c>
      <c r="E493" s="14" t="str">
        <f aca="false">IF(A493="","",SUMIFS(Transactions!$C:$C,Transactions!$A:$A,"&lt;="&amp;A493,Transactions!$B:$B,Settings!$B$1)+SUMIFS(Transactions!$F:$F,Transactions!$A:$A,"&lt;="&amp;A493,Transactions!$B:$B,Settings!$B$1))</f>
        <v/>
      </c>
      <c r="F493" s="14" t="str">
        <f aca="false">IF(A493="","",IF(C493="","",D493*B493*C493))</f>
        <v/>
      </c>
      <c r="G493" s="14" t="str">
        <f aca="false">IF(F493="","",F493-E493)</f>
        <v/>
      </c>
      <c r="H493" s="14" t="str">
        <f aca="false">IF(F493="","",IFERROR(F493-F492-(E493-E492),0))</f>
        <v/>
      </c>
    </row>
    <row r="494" customFormat="false" ht="15" hidden="false" customHeight="false" outlineLevel="0" collapsed="false">
      <c r="A494" s="13" t="str">
        <f aca="false">IF(Prices!A494="","",Prices!A494)</f>
        <v/>
      </c>
      <c r="B494" s="14" t="str">
        <f aca="false">IF(A494="","",Prices!C494)</f>
        <v/>
      </c>
      <c r="C494" s="15" t="str">
        <f aca="false">IF(A494="","",IFERROR(INDEX(FX!$B:$B,MATCH(A494,FX!$A:$A,1)),""))</f>
        <v/>
      </c>
      <c r="D494" s="14" t="str">
        <f aca="false">IF(A494="","",SUMIFS(Transactions!$D:$D,Transactions!$A:$A,"&lt;="&amp;A494,Transactions!$B:$B,Settings!$B$1))</f>
        <v/>
      </c>
      <c r="E494" s="14" t="str">
        <f aca="false">IF(A494="","",SUMIFS(Transactions!$C:$C,Transactions!$A:$A,"&lt;="&amp;A494,Transactions!$B:$B,Settings!$B$1)+SUMIFS(Transactions!$F:$F,Transactions!$A:$A,"&lt;="&amp;A494,Transactions!$B:$B,Settings!$B$1))</f>
        <v/>
      </c>
      <c r="F494" s="14" t="str">
        <f aca="false">IF(A494="","",IF(C494="","",D494*B494*C494))</f>
        <v/>
      </c>
      <c r="G494" s="14" t="str">
        <f aca="false">IF(F494="","",F494-E494)</f>
        <v/>
      </c>
      <c r="H494" s="14" t="str">
        <f aca="false">IF(F494="","",IFERROR(F494-F493-(E494-E493),0))</f>
        <v/>
      </c>
    </row>
    <row r="495" customFormat="false" ht="15" hidden="false" customHeight="false" outlineLevel="0" collapsed="false">
      <c r="A495" s="13" t="str">
        <f aca="false">IF(Prices!A495="","",Prices!A495)</f>
        <v/>
      </c>
      <c r="B495" s="14" t="str">
        <f aca="false">IF(A495="","",Prices!C495)</f>
        <v/>
      </c>
      <c r="C495" s="15" t="str">
        <f aca="false">IF(A495="","",IFERROR(INDEX(FX!$B:$B,MATCH(A495,FX!$A:$A,1)),""))</f>
        <v/>
      </c>
      <c r="D495" s="14" t="str">
        <f aca="false">IF(A495="","",SUMIFS(Transactions!$D:$D,Transactions!$A:$A,"&lt;="&amp;A495,Transactions!$B:$B,Settings!$B$1))</f>
        <v/>
      </c>
      <c r="E495" s="14" t="str">
        <f aca="false">IF(A495="","",SUMIFS(Transactions!$C:$C,Transactions!$A:$A,"&lt;="&amp;A495,Transactions!$B:$B,Settings!$B$1)+SUMIFS(Transactions!$F:$F,Transactions!$A:$A,"&lt;="&amp;A495,Transactions!$B:$B,Settings!$B$1))</f>
        <v/>
      </c>
      <c r="F495" s="14" t="str">
        <f aca="false">IF(A495="","",IF(C495="","",D495*B495*C495))</f>
        <v/>
      </c>
      <c r="G495" s="14" t="str">
        <f aca="false">IF(F495="","",F495-E495)</f>
        <v/>
      </c>
      <c r="H495" s="14" t="str">
        <f aca="false">IF(F495="","",IFERROR(F495-F494-(E495-E494),0))</f>
        <v/>
      </c>
    </row>
    <row r="496" customFormat="false" ht="15" hidden="false" customHeight="false" outlineLevel="0" collapsed="false">
      <c r="A496" s="13" t="str">
        <f aca="false">IF(Prices!A496="","",Prices!A496)</f>
        <v/>
      </c>
      <c r="B496" s="14" t="str">
        <f aca="false">IF(A496="","",Prices!C496)</f>
        <v/>
      </c>
      <c r="C496" s="15" t="str">
        <f aca="false">IF(A496="","",IFERROR(INDEX(FX!$B:$B,MATCH(A496,FX!$A:$A,1)),""))</f>
        <v/>
      </c>
      <c r="D496" s="14" t="str">
        <f aca="false">IF(A496="","",SUMIFS(Transactions!$D:$D,Transactions!$A:$A,"&lt;="&amp;A496,Transactions!$B:$B,Settings!$B$1))</f>
        <v/>
      </c>
      <c r="E496" s="14" t="str">
        <f aca="false">IF(A496="","",SUMIFS(Transactions!$C:$C,Transactions!$A:$A,"&lt;="&amp;A496,Transactions!$B:$B,Settings!$B$1)+SUMIFS(Transactions!$F:$F,Transactions!$A:$A,"&lt;="&amp;A496,Transactions!$B:$B,Settings!$B$1))</f>
        <v/>
      </c>
      <c r="F496" s="14" t="str">
        <f aca="false">IF(A496="","",IF(C496="","",D496*B496*C496))</f>
        <v/>
      </c>
      <c r="G496" s="14" t="str">
        <f aca="false">IF(F496="","",F496-E496)</f>
        <v/>
      </c>
      <c r="H496" s="14" t="str">
        <f aca="false">IF(F496="","",IFERROR(F496-F495-(E496-E495),0))</f>
        <v/>
      </c>
    </row>
    <row r="497" customFormat="false" ht="15" hidden="false" customHeight="false" outlineLevel="0" collapsed="false">
      <c r="A497" s="13" t="str">
        <f aca="false">IF(Prices!A497="","",Prices!A497)</f>
        <v/>
      </c>
      <c r="B497" s="14" t="str">
        <f aca="false">IF(A497="","",Prices!C497)</f>
        <v/>
      </c>
      <c r="C497" s="15" t="str">
        <f aca="false">IF(A497="","",IFERROR(INDEX(FX!$B:$B,MATCH(A497,FX!$A:$A,1)),""))</f>
        <v/>
      </c>
      <c r="D497" s="14" t="str">
        <f aca="false">IF(A497="","",SUMIFS(Transactions!$D:$D,Transactions!$A:$A,"&lt;="&amp;A497,Transactions!$B:$B,Settings!$B$1))</f>
        <v/>
      </c>
      <c r="E497" s="14" t="str">
        <f aca="false">IF(A497="","",SUMIFS(Transactions!$C:$C,Transactions!$A:$A,"&lt;="&amp;A497,Transactions!$B:$B,Settings!$B$1)+SUMIFS(Transactions!$F:$F,Transactions!$A:$A,"&lt;="&amp;A497,Transactions!$B:$B,Settings!$B$1))</f>
        <v/>
      </c>
      <c r="F497" s="14" t="str">
        <f aca="false">IF(A497="","",IF(C497="","",D497*B497*C497))</f>
        <v/>
      </c>
      <c r="G497" s="14" t="str">
        <f aca="false">IF(F497="","",F497-E497)</f>
        <v/>
      </c>
      <c r="H497" s="14" t="str">
        <f aca="false">IF(F497="","",IFERROR(F497-F496-(E497-E496),0))</f>
        <v/>
      </c>
    </row>
    <row r="498" customFormat="false" ht="15" hidden="false" customHeight="false" outlineLevel="0" collapsed="false">
      <c r="A498" s="13" t="str">
        <f aca="false">IF(Prices!A498="","",Prices!A498)</f>
        <v/>
      </c>
      <c r="B498" s="14" t="str">
        <f aca="false">IF(A498="","",Prices!C498)</f>
        <v/>
      </c>
      <c r="C498" s="15" t="str">
        <f aca="false">IF(A498="","",IFERROR(INDEX(FX!$B:$B,MATCH(A498,FX!$A:$A,1)),""))</f>
        <v/>
      </c>
      <c r="D498" s="14" t="str">
        <f aca="false">IF(A498="","",SUMIFS(Transactions!$D:$D,Transactions!$A:$A,"&lt;="&amp;A498,Transactions!$B:$B,Settings!$B$1))</f>
        <v/>
      </c>
      <c r="E498" s="14" t="str">
        <f aca="false">IF(A498="","",SUMIFS(Transactions!$C:$C,Transactions!$A:$A,"&lt;="&amp;A498,Transactions!$B:$B,Settings!$B$1)+SUMIFS(Transactions!$F:$F,Transactions!$A:$A,"&lt;="&amp;A498,Transactions!$B:$B,Settings!$B$1))</f>
        <v/>
      </c>
      <c r="F498" s="14" t="str">
        <f aca="false">IF(A498="","",IF(C498="","",D498*B498*C498))</f>
        <v/>
      </c>
      <c r="G498" s="14" t="str">
        <f aca="false">IF(F498="","",F498-E498)</f>
        <v/>
      </c>
      <c r="H498" s="14" t="str">
        <f aca="false">IF(F498="","",IFERROR(F498-F497-(E498-E497),0))</f>
        <v/>
      </c>
    </row>
    <row r="499" customFormat="false" ht="15" hidden="false" customHeight="false" outlineLevel="0" collapsed="false">
      <c r="A499" s="13" t="str">
        <f aca="false">IF(Prices!A499="","",Prices!A499)</f>
        <v/>
      </c>
      <c r="B499" s="14" t="str">
        <f aca="false">IF(A499="","",Prices!C499)</f>
        <v/>
      </c>
      <c r="C499" s="15" t="str">
        <f aca="false">IF(A499="","",IFERROR(INDEX(FX!$B:$B,MATCH(A499,FX!$A:$A,1)),""))</f>
        <v/>
      </c>
      <c r="D499" s="14" t="str">
        <f aca="false">IF(A499="","",SUMIFS(Transactions!$D:$D,Transactions!$A:$A,"&lt;="&amp;A499,Transactions!$B:$B,Settings!$B$1))</f>
        <v/>
      </c>
      <c r="E499" s="14" t="str">
        <f aca="false">IF(A499="","",SUMIFS(Transactions!$C:$C,Transactions!$A:$A,"&lt;="&amp;A499,Transactions!$B:$B,Settings!$B$1)+SUMIFS(Transactions!$F:$F,Transactions!$A:$A,"&lt;="&amp;A499,Transactions!$B:$B,Settings!$B$1))</f>
        <v/>
      </c>
      <c r="F499" s="14" t="str">
        <f aca="false">IF(A499="","",IF(C499="","",D499*B499*C499))</f>
        <v/>
      </c>
      <c r="G499" s="14" t="str">
        <f aca="false">IF(F499="","",F499-E499)</f>
        <v/>
      </c>
      <c r="H499" s="14" t="str">
        <f aca="false">IF(F499="","",IFERROR(F499-F498-(E499-E498),0))</f>
        <v/>
      </c>
    </row>
    <row r="500" customFormat="false" ht="15" hidden="false" customHeight="false" outlineLevel="0" collapsed="false">
      <c r="A500" s="13" t="str">
        <f aca="false">IF(Prices!A500="","",Prices!A500)</f>
        <v/>
      </c>
      <c r="B500" s="14" t="str">
        <f aca="false">IF(A500="","",Prices!C500)</f>
        <v/>
      </c>
      <c r="C500" s="15" t="str">
        <f aca="false">IF(A500="","",IFERROR(INDEX(FX!$B:$B,MATCH(A500,FX!$A:$A,1)),""))</f>
        <v/>
      </c>
      <c r="D500" s="14" t="str">
        <f aca="false">IF(A500="","",SUMIFS(Transactions!$D:$D,Transactions!$A:$A,"&lt;="&amp;A500,Transactions!$B:$B,Settings!$B$1))</f>
        <v/>
      </c>
      <c r="E500" s="14" t="str">
        <f aca="false">IF(A500="","",SUMIFS(Transactions!$C:$C,Transactions!$A:$A,"&lt;="&amp;A500,Transactions!$B:$B,Settings!$B$1)+SUMIFS(Transactions!$F:$F,Transactions!$A:$A,"&lt;="&amp;A500,Transactions!$B:$B,Settings!$B$1))</f>
        <v/>
      </c>
      <c r="F500" s="14" t="str">
        <f aca="false">IF(A500="","",IF(C500="","",D500*B500*C500))</f>
        <v/>
      </c>
      <c r="G500" s="14" t="str">
        <f aca="false">IF(F500="","",F500-E500)</f>
        <v/>
      </c>
      <c r="H500" s="14" t="str">
        <f aca="false">IF(F500="","",IFERROR(F500-F499-(E500-E499),0))</f>
        <v/>
      </c>
    </row>
    <row r="501" customFormat="false" ht="15" hidden="false" customHeight="false" outlineLevel="0" collapsed="false">
      <c r="A501" s="13" t="str">
        <f aca="false">IF(Prices!A501="","",Prices!A501)</f>
        <v/>
      </c>
      <c r="B501" s="14" t="str">
        <f aca="false">IF(A501="","",Prices!C501)</f>
        <v/>
      </c>
      <c r="C501" s="15" t="str">
        <f aca="false">IF(A501="","",IFERROR(INDEX(FX!$B:$B,MATCH(A501,FX!$A:$A,1)),""))</f>
        <v/>
      </c>
      <c r="D501" s="14" t="str">
        <f aca="false">IF(A501="","",SUMIFS(Transactions!$D:$D,Transactions!$A:$A,"&lt;="&amp;A501,Transactions!$B:$B,Settings!$B$1))</f>
        <v/>
      </c>
      <c r="E501" s="14" t="str">
        <f aca="false">IF(A501="","",SUMIFS(Transactions!$C:$C,Transactions!$A:$A,"&lt;="&amp;A501,Transactions!$B:$B,Settings!$B$1)+SUMIFS(Transactions!$F:$F,Transactions!$A:$A,"&lt;="&amp;A501,Transactions!$B:$B,Settings!$B$1))</f>
        <v/>
      </c>
      <c r="F501" s="14" t="str">
        <f aca="false">IF(A501="","",IF(C501="","",D501*B501*C501))</f>
        <v/>
      </c>
      <c r="G501" s="14" t="str">
        <f aca="false">IF(F501="","",F501-E501)</f>
        <v/>
      </c>
      <c r="H501" s="14" t="str">
        <f aca="false">IF(F501="","",IFERROR(F501-F500-(E501-E500),0))</f>
        <v/>
      </c>
    </row>
    <row r="502" customFormat="false" ht="15" hidden="false" customHeight="false" outlineLevel="0" collapsed="false">
      <c r="A502" s="13" t="str">
        <f aca="false">IF(Prices!A502="","",Prices!A502)</f>
        <v/>
      </c>
      <c r="B502" s="14" t="str">
        <f aca="false">IF(A502="","",Prices!C502)</f>
        <v/>
      </c>
      <c r="C502" s="15" t="str">
        <f aca="false">IF(A502="","",IFERROR(INDEX(FX!$B:$B,MATCH(A502,FX!$A:$A,1)),""))</f>
        <v/>
      </c>
      <c r="D502" s="14" t="str">
        <f aca="false">IF(A502="","",SUMIFS(Transactions!$D:$D,Transactions!$A:$A,"&lt;="&amp;A502,Transactions!$B:$B,Settings!$B$1))</f>
        <v/>
      </c>
      <c r="E502" s="14" t="str">
        <f aca="false">IF(A502="","",SUMIFS(Transactions!$C:$C,Transactions!$A:$A,"&lt;="&amp;A502,Transactions!$B:$B,Settings!$B$1)+SUMIFS(Transactions!$F:$F,Transactions!$A:$A,"&lt;="&amp;A502,Transactions!$B:$B,Settings!$B$1))</f>
        <v/>
      </c>
      <c r="F502" s="14" t="str">
        <f aca="false">IF(A502="","",IF(C502="","",D502*B502*C502))</f>
        <v/>
      </c>
      <c r="G502" s="14" t="str">
        <f aca="false">IF(F502="","",F502-E502)</f>
        <v/>
      </c>
      <c r="H502" s="14" t="str">
        <f aca="false">IF(F502="","",IFERROR(F502-F501-(E502-E501),0))</f>
        <v/>
      </c>
    </row>
    <row r="503" customFormat="false" ht="15" hidden="false" customHeight="false" outlineLevel="0" collapsed="false">
      <c r="A503" s="13" t="str">
        <f aca="false">IF(Prices!A503="","",Prices!A503)</f>
        <v/>
      </c>
      <c r="B503" s="14" t="str">
        <f aca="false">IF(A503="","",Prices!C503)</f>
        <v/>
      </c>
      <c r="C503" s="15" t="str">
        <f aca="false">IF(A503="","",IFERROR(INDEX(FX!$B:$B,MATCH(A503,FX!$A:$A,1)),""))</f>
        <v/>
      </c>
      <c r="D503" s="14" t="str">
        <f aca="false">IF(A503="","",SUMIFS(Transactions!$D:$D,Transactions!$A:$A,"&lt;="&amp;A503,Transactions!$B:$B,Settings!$B$1))</f>
        <v/>
      </c>
      <c r="E503" s="14" t="str">
        <f aca="false">IF(A503="","",SUMIFS(Transactions!$C:$C,Transactions!$A:$A,"&lt;="&amp;A503,Transactions!$B:$B,Settings!$B$1)+SUMIFS(Transactions!$F:$F,Transactions!$A:$A,"&lt;="&amp;A503,Transactions!$B:$B,Settings!$B$1))</f>
        <v/>
      </c>
      <c r="F503" s="14" t="str">
        <f aca="false">IF(A503="","",IF(C503="","",D503*B503*C503))</f>
        <v/>
      </c>
      <c r="G503" s="14" t="str">
        <f aca="false">IF(F503="","",F503-E503)</f>
        <v/>
      </c>
      <c r="H503" s="14" t="str">
        <f aca="false">IF(F503="","",IFERROR(F503-F502-(E503-E502),0))</f>
        <v/>
      </c>
    </row>
    <row r="504" customFormat="false" ht="15" hidden="false" customHeight="false" outlineLevel="0" collapsed="false">
      <c r="A504" s="13" t="str">
        <f aca="false">IF(Prices!A504="","",Prices!A504)</f>
        <v/>
      </c>
      <c r="B504" s="14" t="str">
        <f aca="false">IF(A504="","",Prices!C504)</f>
        <v/>
      </c>
      <c r="C504" s="15" t="str">
        <f aca="false">IF(A504="","",IFERROR(INDEX(FX!$B:$B,MATCH(A504,FX!$A:$A,1)),""))</f>
        <v/>
      </c>
      <c r="D504" s="14" t="str">
        <f aca="false">IF(A504="","",SUMIFS(Transactions!$D:$D,Transactions!$A:$A,"&lt;="&amp;A504,Transactions!$B:$B,Settings!$B$1))</f>
        <v/>
      </c>
      <c r="E504" s="14" t="str">
        <f aca="false">IF(A504="","",SUMIFS(Transactions!$C:$C,Transactions!$A:$A,"&lt;="&amp;A504,Transactions!$B:$B,Settings!$B$1)+SUMIFS(Transactions!$F:$F,Transactions!$A:$A,"&lt;="&amp;A504,Transactions!$B:$B,Settings!$B$1))</f>
        <v/>
      </c>
      <c r="F504" s="14" t="str">
        <f aca="false">IF(A504="","",IF(C504="","",D504*B504*C504))</f>
        <v/>
      </c>
      <c r="G504" s="14" t="str">
        <f aca="false">IF(F504="","",F504-E504)</f>
        <v/>
      </c>
      <c r="H504" s="14" t="str">
        <f aca="false">IF(F504="","",IFERROR(F504-F503-(E504-E503),0))</f>
        <v/>
      </c>
    </row>
    <row r="505" customFormat="false" ht="15" hidden="false" customHeight="false" outlineLevel="0" collapsed="false">
      <c r="A505" s="13" t="str">
        <f aca="false">IF(Prices!A505="","",Prices!A505)</f>
        <v/>
      </c>
      <c r="B505" s="14" t="str">
        <f aca="false">IF(A505="","",Prices!C505)</f>
        <v/>
      </c>
      <c r="C505" s="15" t="str">
        <f aca="false">IF(A505="","",IFERROR(INDEX(FX!$B:$B,MATCH(A505,FX!$A:$A,1)),""))</f>
        <v/>
      </c>
      <c r="D505" s="14" t="str">
        <f aca="false">IF(A505="","",SUMIFS(Transactions!$D:$D,Transactions!$A:$A,"&lt;="&amp;A505,Transactions!$B:$B,Settings!$B$1))</f>
        <v/>
      </c>
      <c r="E505" s="14" t="str">
        <f aca="false">IF(A505="","",SUMIFS(Transactions!$C:$C,Transactions!$A:$A,"&lt;="&amp;A505,Transactions!$B:$B,Settings!$B$1)+SUMIFS(Transactions!$F:$F,Transactions!$A:$A,"&lt;="&amp;A505,Transactions!$B:$B,Settings!$B$1))</f>
        <v/>
      </c>
      <c r="F505" s="14" t="str">
        <f aca="false">IF(A505="","",IF(C505="","",D505*B505*C505))</f>
        <v/>
      </c>
      <c r="G505" s="14" t="str">
        <f aca="false">IF(F505="","",F505-E505)</f>
        <v/>
      </c>
      <c r="H505" s="14" t="str">
        <f aca="false">IF(F505="","",IFERROR(F505-F504-(E505-E504),0))</f>
        <v/>
      </c>
    </row>
    <row r="506" customFormat="false" ht="15" hidden="false" customHeight="false" outlineLevel="0" collapsed="false">
      <c r="A506" s="13" t="str">
        <f aca="false">IF(Prices!A506="","",Prices!A506)</f>
        <v/>
      </c>
      <c r="B506" s="14" t="str">
        <f aca="false">IF(A506="","",Prices!C506)</f>
        <v/>
      </c>
      <c r="C506" s="15" t="str">
        <f aca="false">IF(A506="","",IFERROR(INDEX(FX!$B:$B,MATCH(A506,FX!$A:$A,1)),""))</f>
        <v/>
      </c>
      <c r="D506" s="14" t="str">
        <f aca="false">IF(A506="","",SUMIFS(Transactions!$D:$D,Transactions!$A:$A,"&lt;="&amp;A506,Transactions!$B:$B,Settings!$B$1))</f>
        <v/>
      </c>
      <c r="E506" s="14" t="str">
        <f aca="false">IF(A506="","",SUMIFS(Transactions!$C:$C,Transactions!$A:$A,"&lt;="&amp;A506,Transactions!$B:$B,Settings!$B$1)+SUMIFS(Transactions!$F:$F,Transactions!$A:$A,"&lt;="&amp;A506,Transactions!$B:$B,Settings!$B$1))</f>
        <v/>
      </c>
      <c r="F506" s="14" t="str">
        <f aca="false">IF(A506="","",IF(C506="","",D506*B506*C506))</f>
        <v/>
      </c>
      <c r="G506" s="14" t="str">
        <f aca="false">IF(F506="","",F506-E506)</f>
        <v/>
      </c>
      <c r="H506" s="14" t="str">
        <f aca="false">IF(F506="","",IFERROR(F506-F505-(E506-E505),0))</f>
        <v/>
      </c>
    </row>
    <row r="507" customFormat="false" ht="15" hidden="false" customHeight="false" outlineLevel="0" collapsed="false">
      <c r="A507" s="13" t="str">
        <f aca="false">IF(Prices!A507="","",Prices!A507)</f>
        <v/>
      </c>
      <c r="B507" s="14" t="str">
        <f aca="false">IF(A507="","",Prices!C507)</f>
        <v/>
      </c>
      <c r="C507" s="15" t="str">
        <f aca="false">IF(A507="","",IFERROR(INDEX(FX!$B:$B,MATCH(A507,FX!$A:$A,1)),""))</f>
        <v/>
      </c>
      <c r="D507" s="14" t="str">
        <f aca="false">IF(A507="","",SUMIFS(Transactions!$D:$D,Transactions!$A:$A,"&lt;="&amp;A507,Transactions!$B:$B,Settings!$B$1))</f>
        <v/>
      </c>
      <c r="E507" s="14" t="str">
        <f aca="false">IF(A507="","",SUMIFS(Transactions!$C:$C,Transactions!$A:$A,"&lt;="&amp;A507,Transactions!$B:$B,Settings!$B$1)+SUMIFS(Transactions!$F:$F,Transactions!$A:$A,"&lt;="&amp;A507,Transactions!$B:$B,Settings!$B$1))</f>
        <v/>
      </c>
      <c r="F507" s="14" t="str">
        <f aca="false">IF(A507="","",IF(C507="","",D507*B507*C507))</f>
        <v/>
      </c>
      <c r="G507" s="14" t="str">
        <f aca="false">IF(F507="","",F507-E507)</f>
        <v/>
      </c>
      <c r="H507" s="14" t="str">
        <f aca="false">IF(F507="","",IFERROR(F507-F506-(E507-E506),0))</f>
        <v/>
      </c>
    </row>
    <row r="508" customFormat="false" ht="15" hidden="false" customHeight="false" outlineLevel="0" collapsed="false">
      <c r="A508" s="13" t="str">
        <f aca="false">IF(Prices!A508="","",Prices!A508)</f>
        <v/>
      </c>
      <c r="B508" s="14" t="str">
        <f aca="false">IF(A508="","",Prices!C508)</f>
        <v/>
      </c>
      <c r="C508" s="15" t="str">
        <f aca="false">IF(A508="","",IFERROR(INDEX(FX!$B:$B,MATCH(A508,FX!$A:$A,1)),""))</f>
        <v/>
      </c>
      <c r="D508" s="14" t="str">
        <f aca="false">IF(A508="","",SUMIFS(Transactions!$D:$D,Transactions!$A:$A,"&lt;="&amp;A508,Transactions!$B:$B,Settings!$B$1))</f>
        <v/>
      </c>
      <c r="E508" s="14" t="str">
        <f aca="false">IF(A508="","",SUMIFS(Transactions!$C:$C,Transactions!$A:$A,"&lt;="&amp;A508,Transactions!$B:$B,Settings!$B$1)+SUMIFS(Transactions!$F:$F,Transactions!$A:$A,"&lt;="&amp;A508,Transactions!$B:$B,Settings!$B$1))</f>
        <v/>
      </c>
      <c r="F508" s="14" t="str">
        <f aca="false">IF(A508="","",IF(C508="","",D508*B508*C508))</f>
        <v/>
      </c>
      <c r="G508" s="14" t="str">
        <f aca="false">IF(F508="","",F508-E508)</f>
        <v/>
      </c>
      <c r="H508" s="14" t="str">
        <f aca="false">IF(F508="","",IFERROR(F508-F507-(E508-E507),0))</f>
        <v/>
      </c>
    </row>
    <row r="509" customFormat="false" ht="15" hidden="false" customHeight="false" outlineLevel="0" collapsed="false">
      <c r="A509" s="13" t="str">
        <f aca="false">IF(Prices!A509="","",Prices!A509)</f>
        <v/>
      </c>
      <c r="B509" s="14" t="str">
        <f aca="false">IF(A509="","",Prices!C509)</f>
        <v/>
      </c>
      <c r="C509" s="15" t="str">
        <f aca="false">IF(A509="","",IFERROR(INDEX(FX!$B:$B,MATCH(A509,FX!$A:$A,1)),""))</f>
        <v/>
      </c>
      <c r="D509" s="14" t="str">
        <f aca="false">IF(A509="","",SUMIFS(Transactions!$D:$D,Transactions!$A:$A,"&lt;="&amp;A509,Transactions!$B:$B,Settings!$B$1))</f>
        <v/>
      </c>
      <c r="E509" s="14" t="str">
        <f aca="false">IF(A509="","",SUMIFS(Transactions!$C:$C,Transactions!$A:$A,"&lt;="&amp;A509,Transactions!$B:$B,Settings!$B$1)+SUMIFS(Transactions!$F:$F,Transactions!$A:$A,"&lt;="&amp;A509,Transactions!$B:$B,Settings!$B$1))</f>
        <v/>
      </c>
      <c r="F509" s="14" t="str">
        <f aca="false">IF(A509="","",IF(C509="","",D509*B509*C509))</f>
        <v/>
      </c>
      <c r="G509" s="14" t="str">
        <f aca="false">IF(F509="","",F509-E509)</f>
        <v/>
      </c>
      <c r="H509" s="14" t="str">
        <f aca="false">IF(F509="","",IFERROR(F509-F508-(E509-E508),0))</f>
        <v/>
      </c>
    </row>
    <row r="510" customFormat="false" ht="15" hidden="false" customHeight="false" outlineLevel="0" collapsed="false">
      <c r="A510" s="13" t="str">
        <f aca="false">IF(Prices!A510="","",Prices!A510)</f>
        <v/>
      </c>
      <c r="B510" s="14" t="str">
        <f aca="false">IF(A510="","",Prices!C510)</f>
        <v/>
      </c>
      <c r="C510" s="15" t="str">
        <f aca="false">IF(A510="","",IFERROR(INDEX(FX!$B:$B,MATCH(A510,FX!$A:$A,1)),""))</f>
        <v/>
      </c>
      <c r="D510" s="14" t="str">
        <f aca="false">IF(A510="","",SUMIFS(Transactions!$D:$D,Transactions!$A:$A,"&lt;="&amp;A510,Transactions!$B:$B,Settings!$B$1))</f>
        <v/>
      </c>
      <c r="E510" s="14" t="str">
        <f aca="false">IF(A510="","",SUMIFS(Transactions!$C:$C,Transactions!$A:$A,"&lt;="&amp;A510,Transactions!$B:$B,Settings!$B$1)+SUMIFS(Transactions!$F:$F,Transactions!$A:$A,"&lt;="&amp;A510,Transactions!$B:$B,Settings!$B$1))</f>
        <v/>
      </c>
      <c r="F510" s="14" t="str">
        <f aca="false">IF(A510="","",IF(C510="","",D510*B510*C510))</f>
        <v/>
      </c>
      <c r="G510" s="14" t="str">
        <f aca="false">IF(F510="","",F510-E510)</f>
        <v/>
      </c>
      <c r="H510" s="14" t="str">
        <f aca="false">IF(F510="","",IFERROR(F510-F509-(E510-E509),0))</f>
        <v/>
      </c>
    </row>
    <row r="511" customFormat="false" ht="15" hidden="false" customHeight="false" outlineLevel="0" collapsed="false">
      <c r="A511" s="13" t="str">
        <f aca="false">IF(Prices!A511="","",Prices!A511)</f>
        <v/>
      </c>
      <c r="B511" s="14" t="str">
        <f aca="false">IF(A511="","",Prices!C511)</f>
        <v/>
      </c>
      <c r="C511" s="15" t="str">
        <f aca="false">IF(A511="","",IFERROR(INDEX(FX!$B:$B,MATCH(A511,FX!$A:$A,1)),""))</f>
        <v/>
      </c>
      <c r="D511" s="14" t="str">
        <f aca="false">IF(A511="","",SUMIFS(Transactions!$D:$D,Transactions!$A:$A,"&lt;="&amp;A511,Transactions!$B:$B,Settings!$B$1))</f>
        <v/>
      </c>
      <c r="E511" s="14" t="str">
        <f aca="false">IF(A511="","",SUMIFS(Transactions!$C:$C,Transactions!$A:$A,"&lt;="&amp;A511,Transactions!$B:$B,Settings!$B$1)+SUMIFS(Transactions!$F:$F,Transactions!$A:$A,"&lt;="&amp;A511,Transactions!$B:$B,Settings!$B$1))</f>
        <v/>
      </c>
      <c r="F511" s="14" t="str">
        <f aca="false">IF(A511="","",IF(C511="","",D511*B511*C511))</f>
        <v/>
      </c>
      <c r="G511" s="14" t="str">
        <f aca="false">IF(F511="","",F511-E511)</f>
        <v/>
      </c>
      <c r="H511" s="14" t="str">
        <f aca="false">IF(F511="","",IFERROR(F511-F510-(E511-E510),0))</f>
        <v/>
      </c>
    </row>
    <row r="512" customFormat="false" ht="15" hidden="false" customHeight="false" outlineLevel="0" collapsed="false">
      <c r="A512" s="13" t="str">
        <f aca="false">IF(Prices!A512="","",Prices!A512)</f>
        <v/>
      </c>
      <c r="B512" s="14" t="str">
        <f aca="false">IF(A512="","",Prices!C512)</f>
        <v/>
      </c>
      <c r="C512" s="15" t="str">
        <f aca="false">IF(A512="","",IFERROR(INDEX(FX!$B:$B,MATCH(A512,FX!$A:$A,1)),""))</f>
        <v/>
      </c>
      <c r="D512" s="14" t="str">
        <f aca="false">IF(A512="","",SUMIFS(Transactions!$D:$D,Transactions!$A:$A,"&lt;="&amp;A512,Transactions!$B:$B,Settings!$B$1))</f>
        <v/>
      </c>
      <c r="E512" s="14" t="str">
        <f aca="false">IF(A512="","",SUMIFS(Transactions!$C:$C,Transactions!$A:$A,"&lt;="&amp;A512,Transactions!$B:$B,Settings!$B$1)+SUMIFS(Transactions!$F:$F,Transactions!$A:$A,"&lt;="&amp;A512,Transactions!$B:$B,Settings!$B$1))</f>
        <v/>
      </c>
      <c r="F512" s="14" t="str">
        <f aca="false">IF(A512="","",IF(C512="","",D512*B512*C512))</f>
        <v/>
      </c>
      <c r="G512" s="14" t="str">
        <f aca="false">IF(F512="","",F512-E512)</f>
        <v/>
      </c>
      <c r="H512" s="14" t="str">
        <f aca="false">IF(F512="","",IFERROR(F512-F511-(E512-E511),0))</f>
        <v/>
      </c>
    </row>
    <row r="513" customFormat="false" ht="15" hidden="false" customHeight="false" outlineLevel="0" collapsed="false">
      <c r="A513" s="13" t="str">
        <f aca="false">IF(Prices!A513="","",Prices!A513)</f>
        <v/>
      </c>
      <c r="B513" s="14" t="str">
        <f aca="false">IF(A513="","",Prices!C513)</f>
        <v/>
      </c>
      <c r="C513" s="15" t="str">
        <f aca="false">IF(A513="","",IFERROR(INDEX(FX!$B:$B,MATCH(A513,FX!$A:$A,1)),""))</f>
        <v/>
      </c>
      <c r="D513" s="14" t="str">
        <f aca="false">IF(A513="","",SUMIFS(Transactions!$D:$D,Transactions!$A:$A,"&lt;="&amp;A513,Transactions!$B:$B,Settings!$B$1))</f>
        <v/>
      </c>
      <c r="E513" s="14" t="str">
        <f aca="false">IF(A513="","",SUMIFS(Transactions!$C:$C,Transactions!$A:$A,"&lt;="&amp;A513,Transactions!$B:$B,Settings!$B$1)+SUMIFS(Transactions!$F:$F,Transactions!$A:$A,"&lt;="&amp;A513,Transactions!$B:$B,Settings!$B$1))</f>
        <v/>
      </c>
      <c r="F513" s="14" t="str">
        <f aca="false">IF(A513="","",IF(C513="","",D513*B513*C513))</f>
        <v/>
      </c>
      <c r="G513" s="14" t="str">
        <f aca="false">IF(F513="","",F513-E513)</f>
        <v/>
      </c>
      <c r="H513" s="14" t="str">
        <f aca="false">IF(F513="","",IFERROR(F513-F512-(E513-E512),0))</f>
        <v/>
      </c>
    </row>
    <row r="514" customFormat="false" ht="15" hidden="false" customHeight="false" outlineLevel="0" collapsed="false">
      <c r="A514" s="13" t="str">
        <f aca="false">IF(Prices!A514="","",Prices!A514)</f>
        <v/>
      </c>
      <c r="B514" s="14" t="str">
        <f aca="false">IF(A514="","",Prices!C514)</f>
        <v/>
      </c>
      <c r="C514" s="15" t="str">
        <f aca="false">IF(A514="","",IFERROR(INDEX(FX!$B:$B,MATCH(A514,FX!$A:$A,1)),""))</f>
        <v/>
      </c>
      <c r="D514" s="14" t="str">
        <f aca="false">IF(A514="","",SUMIFS(Transactions!$D:$D,Transactions!$A:$A,"&lt;="&amp;A514,Transactions!$B:$B,Settings!$B$1))</f>
        <v/>
      </c>
      <c r="E514" s="14" t="str">
        <f aca="false">IF(A514="","",SUMIFS(Transactions!$C:$C,Transactions!$A:$A,"&lt;="&amp;A514,Transactions!$B:$B,Settings!$B$1)+SUMIFS(Transactions!$F:$F,Transactions!$A:$A,"&lt;="&amp;A514,Transactions!$B:$B,Settings!$B$1))</f>
        <v/>
      </c>
      <c r="F514" s="14" t="str">
        <f aca="false">IF(A514="","",IF(C514="","",D514*B514*C514))</f>
        <v/>
      </c>
      <c r="G514" s="14" t="str">
        <f aca="false">IF(F514="","",F514-E514)</f>
        <v/>
      </c>
      <c r="H514" s="14" t="str">
        <f aca="false">IF(F514="","",IFERROR(F514-F513-(E514-E513),0))</f>
        <v/>
      </c>
    </row>
    <row r="515" customFormat="false" ht="15" hidden="false" customHeight="false" outlineLevel="0" collapsed="false">
      <c r="A515" s="13" t="str">
        <f aca="false">IF(Prices!A515="","",Prices!A515)</f>
        <v/>
      </c>
      <c r="B515" s="14" t="str">
        <f aca="false">IF(A515="","",Prices!C515)</f>
        <v/>
      </c>
      <c r="C515" s="15" t="str">
        <f aca="false">IF(A515="","",IFERROR(INDEX(FX!$B:$B,MATCH(A515,FX!$A:$A,1)),""))</f>
        <v/>
      </c>
      <c r="D515" s="14" t="str">
        <f aca="false">IF(A515="","",SUMIFS(Transactions!$D:$D,Transactions!$A:$A,"&lt;="&amp;A515,Transactions!$B:$B,Settings!$B$1))</f>
        <v/>
      </c>
      <c r="E515" s="14" t="str">
        <f aca="false">IF(A515="","",SUMIFS(Transactions!$C:$C,Transactions!$A:$A,"&lt;="&amp;A515,Transactions!$B:$B,Settings!$B$1)+SUMIFS(Transactions!$F:$F,Transactions!$A:$A,"&lt;="&amp;A515,Transactions!$B:$B,Settings!$B$1))</f>
        <v/>
      </c>
      <c r="F515" s="14" t="str">
        <f aca="false">IF(A515="","",IF(C515="","",D515*B515*C515))</f>
        <v/>
      </c>
      <c r="G515" s="14" t="str">
        <f aca="false">IF(F515="","",F515-E515)</f>
        <v/>
      </c>
      <c r="H515" s="14" t="str">
        <f aca="false">IF(F515="","",IFERROR(F515-F514-(E515-E514),0))</f>
        <v/>
      </c>
    </row>
    <row r="516" customFormat="false" ht="15" hidden="false" customHeight="false" outlineLevel="0" collapsed="false">
      <c r="A516" s="13" t="str">
        <f aca="false">IF(Prices!A516="","",Prices!A516)</f>
        <v/>
      </c>
      <c r="B516" s="14" t="str">
        <f aca="false">IF(A516="","",Prices!C516)</f>
        <v/>
      </c>
      <c r="C516" s="15" t="str">
        <f aca="false">IF(A516="","",IFERROR(INDEX(FX!$B:$B,MATCH(A516,FX!$A:$A,1)),""))</f>
        <v/>
      </c>
      <c r="D516" s="14" t="str">
        <f aca="false">IF(A516="","",SUMIFS(Transactions!$D:$D,Transactions!$A:$A,"&lt;="&amp;A516,Transactions!$B:$B,Settings!$B$1))</f>
        <v/>
      </c>
      <c r="E516" s="14" t="str">
        <f aca="false">IF(A516="","",SUMIFS(Transactions!$C:$C,Transactions!$A:$A,"&lt;="&amp;A516,Transactions!$B:$B,Settings!$B$1)+SUMIFS(Transactions!$F:$F,Transactions!$A:$A,"&lt;="&amp;A516,Transactions!$B:$B,Settings!$B$1))</f>
        <v/>
      </c>
      <c r="F516" s="14" t="str">
        <f aca="false">IF(A516="","",IF(C516="","",D516*B516*C516))</f>
        <v/>
      </c>
      <c r="G516" s="14" t="str">
        <f aca="false">IF(F516="","",F516-E516)</f>
        <v/>
      </c>
      <c r="H516" s="14" t="str">
        <f aca="false">IF(F516="","",IFERROR(F516-F515-(E516-E515),0))</f>
        <v/>
      </c>
    </row>
    <row r="517" customFormat="false" ht="15" hidden="false" customHeight="false" outlineLevel="0" collapsed="false">
      <c r="A517" s="13" t="str">
        <f aca="false">IF(Prices!A517="","",Prices!A517)</f>
        <v/>
      </c>
      <c r="B517" s="14" t="str">
        <f aca="false">IF(A517="","",Prices!C517)</f>
        <v/>
      </c>
      <c r="C517" s="15" t="str">
        <f aca="false">IF(A517="","",IFERROR(INDEX(FX!$B:$B,MATCH(A517,FX!$A:$A,1)),""))</f>
        <v/>
      </c>
      <c r="D517" s="14" t="str">
        <f aca="false">IF(A517="","",SUMIFS(Transactions!$D:$D,Transactions!$A:$A,"&lt;="&amp;A517,Transactions!$B:$B,Settings!$B$1))</f>
        <v/>
      </c>
      <c r="E517" s="14" t="str">
        <f aca="false">IF(A517="","",SUMIFS(Transactions!$C:$C,Transactions!$A:$A,"&lt;="&amp;A517,Transactions!$B:$B,Settings!$B$1)+SUMIFS(Transactions!$F:$F,Transactions!$A:$A,"&lt;="&amp;A517,Transactions!$B:$B,Settings!$B$1))</f>
        <v/>
      </c>
      <c r="F517" s="14" t="str">
        <f aca="false">IF(A517="","",IF(C517="","",D517*B517*C517))</f>
        <v/>
      </c>
      <c r="G517" s="14" t="str">
        <f aca="false">IF(F517="","",F517-E517)</f>
        <v/>
      </c>
      <c r="H517" s="14" t="str">
        <f aca="false">IF(F517="","",IFERROR(F517-F516-(E517-E516),0))</f>
        <v/>
      </c>
    </row>
    <row r="518" customFormat="false" ht="15" hidden="false" customHeight="false" outlineLevel="0" collapsed="false">
      <c r="A518" s="13" t="str">
        <f aca="false">IF(Prices!A518="","",Prices!A518)</f>
        <v/>
      </c>
      <c r="B518" s="14" t="str">
        <f aca="false">IF(A518="","",Prices!C518)</f>
        <v/>
      </c>
      <c r="C518" s="15" t="str">
        <f aca="false">IF(A518="","",IFERROR(INDEX(FX!$B:$B,MATCH(A518,FX!$A:$A,1)),""))</f>
        <v/>
      </c>
      <c r="D518" s="14" t="str">
        <f aca="false">IF(A518="","",SUMIFS(Transactions!$D:$D,Transactions!$A:$A,"&lt;="&amp;A518,Transactions!$B:$B,Settings!$B$1))</f>
        <v/>
      </c>
      <c r="E518" s="14" t="str">
        <f aca="false">IF(A518="","",SUMIFS(Transactions!$C:$C,Transactions!$A:$A,"&lt;="&amp;A518,Transactions!$B:$B,Settings!$B$1)+SUMIFS(Transactions!$F:$F,Transactions!$A:$A,"&lt;="&amp;A518,Transactions!$B:$B,Settings!$B$1))</f>
        <v/>
      </c>
      <c r="F518" s="14" t="str">
        <f aca="false">IF(A518="","",IF(C518="","",D518*B518*C518))</f>
        <v/>
      </c>
      <c r="G518" s="14" t="str">
        <f aca="false">IF(F518="","",F518-E518)</f>
        <v/>
      </c>
      <c r="H518" s="14" t="str">
        <f aca="false">IF(F518="","",IFERROR(F518-F517-(E518-E517),0))</f>
        <v/>
      </c>
    </row>
    <row r="519" customFormat="false" ht="15" hidden="false" customHeight="false" outlineLevel="0" collapsed="false">
      <c r="A519" s="13" t="str">
        <f aca="false">IF(Prices!A519="","",Prices!A519)</f>
        <v/>
      </c>
      <c r="B519" s="14" t="str">
        <f aca="false">IF(A519="","",Prices!C519)</f>
        <v/>
      </c>
      <c r="C519" s="15" t="str">
        <f aca="false">IF(A519="","",IFERROR(INDEX(FX!$B:$B,MATCH(A519,FX!$A:$A,1)),""))</f>
        <v/>
      </c>
      <c r="D519" s="14" t="str">
        <f aca="false">IF(A519="","",SUMIFS(Transactions!$D:$D,Transactions!$A:$A,"&lt;="&amp;A519,Transactions!$B:$B,Settings!$B$1))</f>
        <v/>
      </c>
      <c r="E519" s="14" t="str">
        <f aca="false">IF(A519="","",SUMIFS(Transactions!$C:$C,Transactions!$A:$A,"&lt;="&amp;A519,Transactions!$B:$B,Settings!$B$1)+SUMIFS(Transactions!$F:$F,Transactions!$A:$A,"&lt;="&amp;A519,Transactions!$B:$B,Settings!$B$1))</f>
        <v/>
      </c>
      <c r="F519" s="14" t="str">
        <f aca="false">IF(A519="","",IF(C519="","",D519*B519*C519))</f>
        <v/>
      </c>
      <c r="G519" s="14" t="str">
        <f aca="false">IF(F519="","",F519-E519)</f>
        <v/>
      </c>
      <c r="H519" s="14" t="str">
        <f aca="false">IF(F519="","",IFERROR(F519-F518-(E519-E518),0))</f>
        <v/>
      </c>
    </row>
    <row r="520" customFormat="false" ht="15" hidden="false" customHeight="false" outlineLevel="0" collapsed="false">
      <c r="A520" s="13" t="str">
        <f aca="false">IF(Prices!A520="","",Prices!A520)</f>
        <v/>
      </c>
      <c r="B520" s="14" t="str">
        <f aca="false">IF(A520="","",Prices!C520)</f>
        <v/>
      </c>
      <c r="C520" s="15" t="str">
        <f aca="false">IF(A520="","",IFERROR(INDEX(FX!$B:$B,MATCH(A520,FX!$A:$A,1)),""))</f>
        <v/>
      </c>
      <c r="D520" s="14" t="str">
        <f aca="false">IF(A520="","",SUMIFS(Transactions!$D:$D,Transactions!$A:$A,"&lt;="&amp;A520,Transactions!$B:$B,Settings!$B$1))</f>
        <v/>
      </c>
      <c r="E520" s="14" t="str">
        <f aca="false">IF(A520="","",SUMIFS(Transactions!$C:$C,Transactions!$A:$A,"&lt;="&amp;A520,Transactions!$B:$B,Settings!$B$1)+SUMIFS(Transactions!$F:$F,Transactions!$A:$A,"&lt;="&amp;A520,Transactions!$B:$B,Settings!$B$1))</f>
        <v/>
      </c>
      <c r="F520" s="14" t="str">
        <f aca="false">IF(A520="","",IF(C520="","",D520*B520*C520))</f>
        <v/>
      </c>
      <c r="G520" s="14" t="str">
        <f aca="false">IF(F520="","",F520-E520)</f>
        <v/>
      </c>
      <c r="H520" s="14" t="str">
        <f aca="false">IF(F520="","",IFERROR(F520-F519-(E520-E519),0))</f>
        <v/>
      </c>
    </row>
    <row r="521" customFormat="false" ht="15" hidden="false" customHeight="false" outlineLevel="0" collapsed="false">
      <c r="A521" s="13" t="str">
        <f aca="false">IF(Prices!A521="","",Prices!A521)</f>
        <v/>
      </c>
      <c r="B521" s="14" t="str">
        <f aca="false">IF(A521="","",Prices!C521)</f>
        <v/>
      </c>
      <c r="C521" s="15" t="str">
        <f aca="false">IF(A521="","",IFERROR(INDEX(FX!$B:$B,MATCH(A521,FX!$A:$A,1)),""))</f>
        <v/>
      </c>
      <c r="D521" s="14" t="str">
        <f aca="false">IF(A521="","",SUMIFS(Transactions!$D:$D,Transactions!$A:$A,"&lt;="&amp;A521,Transactions!$B:$B,Settings!$B$1))</f>
        <v/>
      </c>
      <c r="E521" s="14" t="str">
        <f aca="false">IF(A521="","",SUMIFS(Transactions!$C:$C,Transactions!$A:$A,"&lt;="&amp;A521,Transactions!$B:$B,Settings!$B$1)+SUMIFS(Transactions!$F:$F,Transactions!$A:$A,"&lt;="&amp;A521,Transactions!$B:$B,Settings!$B$1))</f>
        <v/>
      </c>
      <c r="F521" s="14" t="str">
        <f aca="false">IF(A521="","",IF(C521="","",D521*B521*C521))</f>
        <v/>
      </c>
      <c r="G521" s="14" t="str">
        <f aca="false">IF(F521="","",F521-E521)</f>
        <v/>
      </c>
      <c r="H521" s="14" t="str">
        <f aca="false">IF(F521="","",IFERROR(F521-F520-(E521-E520),0))</f>
        <v/>
      </c>
    </row>
    <row r="522" customFormat="false" ht="15" hidden="false" customHeight="false" outlineLevel="0" collapsed="false">
      <c r="A522" s="13" t="str">
        <f aca="false">IF(Prices!A522="","",Prices!A522)</f>
        <v/>
      </c>
      <c r="B522" s="14" t="str">
        <f aca="false">IF(A522="","",Prices!C522)</f>
        <v/>
      </c>
      <c r="C522" s="15" t="str">
        <f aca="false">IF(A522="","",IFERROR(INDEX(FX!$B:$B,MATCH(A522,FX!$A:$A,1)),""))</f>
        <v/>
      </c>
      <c r="D522" s="14" t="str">
        <f aca="false">IF(A522="","",SUMIFS(Transactions!$D:$D,Transactions!$A:$A,"&lt;="&amp;A522,Transactions!$B:$B,Settings!$B$1))</f>
        <v/>
      </c>
      <c r="E522" s="14" t="str">
        <f aca="false">IF(A522="","",SUMIFS(Transactions!$C:$C,Transactions!$A:$A,"&lt;="&amp;A522,Transactions!$B:$B,Settings!$B$1)+SUMIFS(Transactions!$F:$F,Transactions!$A:$A,"&lt;="&amp;A522,Transactions!$B:$B,Settings!$B$1))</f>
        <v/>
      </c>
      <c r="F522" s="14" t="str">
        <f aca="false">IF(A522="","",IF(C522="","",D522*B522*C522))</f>
        <v/>
      </c>
      <c r="G522" s="14" t="str">
        <f aca="false">IF(F522="","",F522-E522)</f>
        <v/>
      </c>
      <c r="H522" s="14" t="str">
        <f aca="false">IF(F522="","",IFERROR(F522-F521-(E522-E521),0))</f>
        <v/>
      </c>
    </row>
    <row r="523" customFormat="false" ht="15" hidden="false" customHeight="false" outlineLevel="0" collapsed="false">
      <c r="A523" s="13" t="str">
        <f aca="false">IF(Prices!A523="","",Prices!A523)</f>
        <v/>
      </c>
      <c r="B523" s="14" t="str">
        <f aca="false">IF(A523="","",Prices!C523)</f>
        <v/>
      </c>
      <c r="C523" s="15" t="str">
        <f aca="false">IF(A523="","",IFERROR(INDEX(FX!$B:$B,MATCH(A523,FX!$A:$A,1)),""))</f>
        <v/>
      </c>
      <c r="D523" s="14" t="str">
        <f aca="false">IF(A523="","",SUMIFS(Transactions!$D:$D,Transactions!$A:$A,"&lt;="&amp;A523,Transactions!$B:$B,Settings!$B$1))</f>
        <v/>
      </c>
      <c r="E523" s="14" t="str">
        <f aca="false">IF(A523="","",SUMIFS(Transactions!$C:$C,Transactions!$A:$A,"&lt;="&amp;A523,Transactions!$B:$B,Settings!$B$1)+SUMIFS(Transactions!$F:$F,Transactions!$A:$A,"&lt;="&amp;A523,Transactions!$B:$B,Settings!$B$1))</f>
        <v/>
      </c>
      <c r="F523" s="14" t="str">
        <f aca="false">IF(A523="","",IF(C523="","",D523*B523*C523))</f>
        <v/>
      </c>
      <c r="G523" s="14" t="str">
        <f aca="false">IF(F523="","",F523-E523)</f>
        <v/>
      </c>
      <c r="H523" s="14" t="str">
        <f aca="false">IF(F523="","",IFERROR(F523-F522-(E523-E522),0))</f>
        <v/>
      </c>
    </row>
    <row r="524" customFormat="false" ht="15" hidden="false" customHeight="false" outlineLevel="0" collapsed="false">
      <c r="A524" s="13" t="str">
        <f aca="false">IF(Prices!A524="","",Prices!A524)</f>
        <v/>
      </c>
      <c r="B524" s="14" t="str">
        <f aca="false">IF(A524="","",Prices!C524)</f>
        <v/>
      </c>
      <c r="C524" s="15" t="str">
        <f aca="false">IF(A524="","",IFERROR(INDEX(FX!$B:$B,MATCH(A524,FX!$A:$A,1)),""))</f>
        <v/>
      </c>
      <c r="D524" s="14" t="str">
        <f aca="false">IF(A524="","",SUMIFS(Transactions!$D:$D,Transactions!$A:$A,"&lt;="&amp;A524,Transactions!$B:$B,Settings!$B$1))</f>
        <v/>
      </c>
      <c r="E524" s="14" t="str">
        <f aca="false">IF(A524="","",SUMIFS(Transactions!$C:$C,Transactions!$A:$A,"&lt;="&amp;A524,Transactions!$B:$B,Settings!$B$1)+SUMIFS(Transactions!$F:$F,Transactions!$A:$A,"&lt;="&amp;A524,Transactions!$B:$B,Settings!$B$1))</f>
        <v/>
      </c>
      <c r="F524" s="14" t="str">
        <f aca="false">IF(A524="","",IF(C524="","",D524*B524*C524))</f>
        <v/>
      </c>
      <c r="G524" s="14" t="str">
        <f aca="false">IF(F524="","",F524-E524)</f>
        <v/>
      </c>
      <c r="H524" s="14" t="str">
        <f aca="false">IF(F524="","",IFERROR(F524-F523-(E524-E523),0))</f>
        <v/>
      </c>
    </row>
    <row r="525" customFormat="false" ht="15" hidden="false" customHeight="false" outlineLevel="0" collapsed="false">
      <c r="A525" s="13" t="str">
        <f aca="false">IF(Prices!A525="","",Prices!A525)</f>
        <v/>
      </c>
      <c r="B525" s="14" t="str">
        <f aca="false">IF(A525="","",Prices!C525)</f>
        <v/>
      </c>
      <c r="C525" s="15" t="str">
        <f aca="false">IF(A525="","",IFERROR(INDEX(FX!$B:$B,MATCH(A525,FX!$A:$A,1)),""))</f>
        <v/>
      </c>
      <c r="D525" s="14" t="str">
        <f aca="false">IF(A525="","",SUMIFS(Transactions!$D:$D,Transactions!$A:$A,"&lt;="&amp;A525,Transactions!$B:$B,Settings!$B$1))</f>
        <v/>
      </c>
      <c r="E525" s="14" t="str">
        <f aca="false">IF(A525="","",SUMIFS(Transactions!$C:$C,Transactions!$A:$A,"&lt;="&amp;A525,Transactions!$B:$B,Settings!$B$1)+SUMIFS(Transactions!$F:$F,Transactions!$A:$A,"&lt;="&amp;A525,Transactions!$B:$B,Settings!$B$1))</f>
        <v/>
      </c>
      <c r="F525" s="14" t="str">
        <f aca="false">IF(A525="","",IF(C525="","",D525*B525*C525))</f>
        <v/>
      </c>
      <c r="G525" s="14" t="str">
        <f aca="false">IF(F525="","",F525-E525)</f>
        <v/>
      </c>
      <c r="H525" s="14" t="str">
        <f aca="false">IF(F525="","",IFERROR(F525-F524-(E525-E524),0))</f>
        <v/>
      </c>
    </row>
    <row r="526" customFormat="false" ht="15" hidden="false" customHeight="false" outlineLevel="0" collapsed="false">
      <c r="A526" s="13" t="str">
        <f aca="false">IF(Prices!A526="","",Prices!A526)</f>
        <v/>
      </c>
      <c r="B526" s="14" t="str">
        <f aca="false">IF(A526="","",Prices!C526)</f>
        <v/>
      </c>
      <c r="C526" s="15" t="str">
        <f aca="false">IF(A526="","",IFERROR(INDEX(FX!$B:$B,MATCH(A526,FX!$A:$A,1)),""))</f>
        <v/>
      </c>
      <c r="D526" s="14" t="str">
        <f aca="false">IF(A526="","",SUMIFS(Transactions!$D:$D,Transactions!$A:$A,"&lt;="&amp;A526,Transactions!$B:$B,Settings!$B$1))</f>
        <v/>
      </c>
      <c r="E526" s="14" t="str">
        <f aca="false">IF(A526="","",SUMIFS(Transactions!$C:$C,Transactions!$A:$A,"&lt;="&amp;A526,Transactions!$B:$B,Settings!$B$1)+SUMIFS(Transactions!$F:$F,Transactions!$A:$A,"&lt;="&amp;A526,Transactions!$B:$B,Settings!$B$1))</f>
        <v/>
      </c>
      <c r="F526" s="14" t="str">
        <f aca="false">IF(A526="","",IF(C526="","",D526*B526*C526))</f>
        <v/>
      </c>
      <c r="G526" s="14" t="str">
        <f aca="false">IF(F526="","",F526-E526)</f>
        <v/>
      </c>
      <c r="H526" s="14" t="str">
        <f aca="false">IF(F526="","",IFERROR(F526-F525-(E526-E525),0))</f>
        <v/>
      </c>
    </row>
    <row r="527" customFormat="false" ht="15" hidden="false" customHeight="false" outlineLevel="0" collapsed="false">
      <c r="A527" s="13" t="str">
        <f aca="false">IF(Prices!A527="","",Prices!A527)</f>
        <v/>
      </c>
      <c r="B527" s="14" t="str">
        <f aca="false">IF(A527="","",Prices!C527)</f>
        <v/>
      </c>
      <c r="C527" s="15" t="str">
        <f aca="false">IF(A527="","",IFERROR(INDEX(FX!$B:$B,MATCH(A527,FX!$A:$A,1)),""))</f>
        <v/>
      </c>
      <c r="D527" s="14" t="str">
        <f aca="false">IF(A527="","",SUMIFS(Transactions!$D:$D,Transactions!$A:$A,"&lt;="&amp;A527,Transactions!$B:$B,Settings!$B$1))</f>
        <v/>
      </c>
      <c r="E527" s="14" t="str">
        <f aca="false">IF(A527="","",SUMIFS(Transactions!$C:$C,Transactions!$A:$A,"&lt;="&amp;A527,Transactions!$B:$B,Settings!$B$1)+SUMIFS(Transactions!$F:$F,Transactions!$A:$A,"&lt;="&amp;A527,Transactions!$B:$B,Settings!$B$1))</f>
        <v/>
      </c>
      <c r="F527" s="14" t="str">
        <f aca="false">IF(A527="","",IF(C527="","",D527*B527*C527))</f>
        <v/>
      </c>
      <c r="G527" s="14" t="str">
        <f aca="false">IF(F527="","",F527-E527)</f>
        <v/>
      </c>
      <c r="H527" s="14" t="str">
        <f aca="false">IF(F527="","",IFERROR(F527-F526-(E527-E526),0))</f>
        <v/>
      </c>
    </row>
    <row r="528" customFormat="false" ht="15" hidden="false" customHeight="false" outlineLevel="0" collapsed="false">
      <c r="A528" s="13" t="str">
        <f aca="false">IF(Prices!A528="","",Prices!A528)</f>
        <v/>
      </c>
      <c r="B528" s="14" t="str">
        <f aca="false">IF(A528="","",Prices!C528)</f>
        <v/>
      </c>
      <c r="C528" s="15" t="str">
        <f aca="false">IF(A528="","",IFERROR(INDEX(FX!$B:$B,MATCH(A528,FX!$A:$A,1)),""))</f>
        <v/>
      </c>
      <c r="D528" s="14" t="str">
        <f aca="false">IF(A528="","",SUMIFS(Transactions!$D:$D,Transactions!$A:$A,"&lt;="&amp;A528,Transactions!$B:$B,Settings!$B$1))</f>
        <v/>
      </c>
      <c r="E528" s="14" t="str">
        <f aca="false">IF(A528="","",SUMIFS(Transactions!$C:$C,Transactions!$A:$A,"&lt;="&amp;A528,Transactions!$B:$B,Settings!$B$1)+SUMIFS(Transactions!$F:$F,Transactions!$A:$A,"&lt;="&amp;A528,Transactions!$B:$B,Settings!$B$1))</f>
        <v/>
      </c>
      <c r="F528" s="14" t="str">
        <f aca="false">IF(A528="","",IF(C528="","",D528*B528*C528))</f>
        <v/>
      </c>
      <c r="G528" s="14" t="str">
        <f aca="false">IF(F528="","",F528-E528)</f>
        <v/>
      </c>
      <c r="H528" s="14" t="str">
        <f aca="false">IF(F528="","",IFERROR(F528-F527-(E528-E527),0))</f>
        <v/>
      </c>
    </row>
    <row r="529" customFormat="false" ht="15" hidden="false" customHeight="false" outlineLevel="0" collapsed="false">
      <c r="A529" s="13" t="str">
        <f aca="false">IF(Prices!A529="","",Prices!A529)</f>
        <v/>
      </c>
      <c r="B529" s="14" t="str">
        <f aca="false">IF(A529="","",Prices!C529)</f>
        <v/>
      </c>
      <c r="C529" s="15" t="str">
        <f aca="false">IF(A529="","",IFERROR(INDEX(FX!$B:$B,MATCH(A529,FX!$A:$A,1)),""))</f>
        <v/>
      </c>
      <c r="D529" s="14" t="str">
        <f aca="false">IF(A529="","",SUMIFS(Transactions!$D:$D,Transactions!$A:$A,"&lt;="&amp;A529,Transactions!$B:$B,Settings!$B$1))</f>
        <v/>
      </c>
      <c r="E529" s="14" t="str">
        <f aca="false">IF(A529="","",SUMIFS(Transactions!$C:$C,Transactions!$A:$A,"&lt;="&amp;A529,Transactions!$B:$B,Settings!$B$1)+SUMIFS(Transactions!$F:$F,Transactions!$A:$A,"&lt;="&amp;A529,Transactions!$B:$B,Settings!$B$1))</f>
        <v/>
      </c>
      <c r="F529" s="14" t="str">
        <f aca="false">IF(A529="","",IF(C529="","",D529*B529*C529))</f>
        <v/>
      </c>
      <c r="G529" s="14" t="str">
        <f aca="false">IF(F529="","",F529-E529)</f>
        <v/>
      </c>
      <c r="H529" s="14" t="str">
        <f aca="false">IF(F529="","",IFERROR(F529-F528-(E529-E528),0))</f>
        <v/>
      </c>
    </row>
    <row r="530" customFormat="false" ht="15" hidden="false" customHeight="false" outlineLevel="0" collapsed="false">
      <c r="A530" s="13" t="str">
        <f aca="false">IF(Prices!A530="","",Prices!A530)</f>
        <v/>
      </c>
      <c r="B530" s="14" t="str">
        <f aca="false">IF(A530="","",Prices!C530)</f>
        <v/>
      </c>
      <c r="C530" s="15" t="str">
        <f aca="false">IF(A530="","",IFERROR(INDEX(FX!$B:$B,MATCH(A530,FX!$A:$A,1)),""))</f>
        <v/>
      </c>
      <c r="D530" s="14" t="str">
        <f aca="false">IF(A530="","",SUMIFS(Transactions!$D:$D,Transactions!$A:$A,"&lt;="&amp;A530,Transactions!$B:$B,Settings!$B$1))</f>
        <v/>
      </c>
      <c r="E530" s="14" t="str">
        <f aca="false">IF(A530="","",SUMIFS(Transactions!$C:$C,Transactions!$A:$A,"&lt;="&amp;A530,Transactions!$B:$B,Settings!$B$1)+SUMIFS(Transactions!$F:$F,Transactions!$A:$A,"&lt;="&amp;A530,Transactions!$B:$B,Settings!$B$1))</f>
        <v/>
      </c>
      <c r="F530" s="14" t="str">
        <f aca="false">IF(A530="","",IF(C530="","",D530*B530*C530))</f>
        <v/>
      </c>
      <c r="G530" s="14" t="str">
        <f aca="false">IF(F530="","",F530-E530)</f>
        <v/>
      </c>
      <c r="H530" s="14" t="str">
        <f aca="false">IF(F530="","",IFERROR(F530-F529-(E530-E529),0))</f>
        <v/>
      </c>
    </row>
    <row r="531" customFormat="false" ht="15" hidden="false" customHeight="false" outlineLevel="0" collapsed="false">
      <c r="A531" s="13" t="str">
        <f aca="false">IF(Prices!A531="","",Prices!A531)</f>
        <v/>
      </c>
      <c r="B531" s="14" t="str">
        <f aca="false">IF(A531="","",Prices!C531)</f>
        <v/>
      </c>
      <c r="C531" s="15" t="str">
        <f aca="false">IF(A531="","",IFERROR(INDEX(FX!$B:$B,MATCH(A531,FX!$A:$A,1)),""))</f>
        <v/>
      </c>
      <c r="D531" s="14" t="str">
        <f aca="false">IF(A531="","",SUMIFS(Transactions!$D:$D,Transactions!$A:$A,"&lt;="&amp;A531,Transactions!$B:$B,Settings!$B$1))</f>
        <v/>
      </c>
      <c r="E531" s="14" t="str">
        <f aca="false">IF(A531="","",SUMIFS(Transactions!$C:$C,Transactions!$A:$A,"&lt;="&amp;A531,Transactions!$B:$B,Settings!$B$1)+SUMIFS(Transactions!$F:$F,Transactions!$A:$A,"&lt;="&amp;A531,Transactions!$B:$B,Settings!$B$1))</f>
        <v/>
      </c>
      <c r="F531" s="14" t="str">
        <f aca="false">IF(A531="","",IF(C531="","",D531*B531*C531))</f>
        <v/>
      </c>
      <c r="G531" s="14" t="str">
        <f aca="false">IF(F531="","",F531-E531)</f>
        <v/>
      </c>
      <c r="H531" s="14" t="str">
        <f aca="false">IF(F531="","",IFERROR(F531-F530-(E531-E530),0))</f>
        <v/>
      </c>
    </row>
    <row r="532" customFormat="false" ht="15" hidden="false" customHeight="false" outlineLevel="0" collapsed="false">
      <c r="A532" s="13" t="str">
        <f aca="false">IF(Prices!A532="","",Prices!A532)</f>
        <v/>
      </c>
      <c r="B532" s="14" t="str">
        <f aca="false">IF(A532="","",Prices!C532)</f>
        <v/>
      </c>
      <c r="C532" s="15" t="str">
        <f aca="false">IF(A532="","",IFERROR(INDEX(FX!$B:$B,MATCH(A532,FX!$A:$A,1)),""))</f>
        <v/>
      </c>
      <c r="D532" s="14" t="str">
        <f aca="false">IF(A532="","",SUMIFS(Transactions!$D:$D,Transactions!$A:$A,"&lt;="&amp;A532,Transactions!$B:$B,Settings!$B$1))</f>
        <v/>
      </c>
      <c r="E532" s="14" t="str">
        <f aca="false">IF(A532="","",SUMIFS(Transactions!$C:$C,Transactions!$A:$A,"&lt;="&amp;A532,Transactions!$B:$B,Settings!$B$1)+SUMIFS(Transactions!$F:$F,Transactions!$A:$A,"&lt;="&amp;A532,Transactions!$B:$B,Settings!$B$1))</f>
        <v/>
      </c>
      <c r="F532" s="14" t="str">
        <f aca="false">IF(A532="","",IF(C532="","",D532*B532*C532))</f>
        <v/>
      </c>
      <c r="G532" s="14" t="str">
        <f aca="false">IF(F532="","",F532-E532)</f>
        <v/>
      </c>
      <c r="H532" s="14" t="str">
        <f aca="false">IF(F532="","",IFERROR(F532-F531-(E532-E531),0))</f>
        <v/>
      </c>
    </row>
    <row r="533" customFormat="false" ht="15" hidden="false" customHeight="false" outlineLevel="0" collapsed="false">
      <c r="A533" s="13" t="str">
        <f aca="false">IF(Prices!A533="","",Prices!A533)</f>
        <v/>
      </c>
      <c r="B533" s="14" t="str">
        <f aca="false">IF(A533="","",Prices!C533)</f>
        <v/>
      </c>
      <c r="C533" s="15" t="str">
        <f aca="false">IF(A533="","",IFERROR(INDEX(FX!$B:$B,MATCH(A533,FX!$A:$A,1)),""))</f>
        <v/>
      </c>
      <c r="D533" s="14" t="str">
        <f aca="false">IF(A533="","",SUMIFS(Transactions!$D:$D,Transactions!$A:$A,"&lt;="&amp;A533,Transactions!$B:$B,Settings!$B$1))</f>
        <v/>
      </c>
      <c r="E533" s="14" t="str">
        <f aca="false">IF(A533="","",SUMIFS(Transactions!$C:$C,Transactions!$A:$A,"&lt;="&amp;A533,Transactions!$B:$B,Settings!$B$1)+SUMIFS(Transactions!$F:$F,Transactions!$A:$A,"&lt;="&amp;A533,Transactions!$B:$B,Settings!$B$1))</f>
        <v/>
      </c>
      <c r="F533" s="14" t="str">
        <f aca="false">IF(A533="","",IF(C533="","",D533*B533*C533))</f>
        <v/>
      </c>
      <c r="G533" s="14" t="str">
        <f aca="false">IF(F533="","",F533-E533)</f>
        <v/>
      </c>
      <c r="H533" s="14" t="str">
        <f aca="false">IF(F533="","",IFERROR(F533-F532-(E533-E532),0))</f>
        <v/>
      </c>
    </row>
    <row r="534" customFormat="false" ht="15" hidden="false" customHeight="false" outlineLevel="0" collapsed="false">
      <c r="A534" s="13" t="str">
        <f aca="false">IF(Prices!A534="","",Prices!A534)</f>
        <v/>
      </c>
      <c r="B534" s="14" t="str">
        <f aca="false">IF(A534="","",Prices!C534)</f>
        <v/>
      </c>
      <c r="C534" s="15" t="str">
        <f aca="false">IF(A534="","",IFERROR(INDEX(FX!$B:$B,MATCH(A534,FX!$A:$A,1)),""))</f>
        <v/>
      </c>
      <c r="D534" s="14" t="str">
        <f aca="false">IF(A534="","",SUMIFS(Transactions!$D:$D,Transactions!$A:$A,"&lt;="&amp;A534,Transactions!$B:$B,Settings!$B$1))</f>
        <v/>
      </c>
      <c r="E534" s="14" t="str">
        <f aca="false">IF(A534="","",SUMIFS(Transactions!$C:$C,Transactions!$A:$A,"&lt;="&amp;A534,Transactions!$B:$B,Settings!$B$1)+SUMIFS(Transactions!$F:$F,Transactions!$A:$A,"&lt;="&amp;A534,Transactions!$B:$B,Settings!$B$1))</f>
        <v/>
      </c>
      <c r="F534" s="14" t="str">
        <f aca="false">IF(A534="","",IF(C534="","",D534*B534*C534))</f>
        <v/>
      </c>
      <c r="G534" s="14" t="str">
        <f aca="false">IF(F534="","",F534-E534)</f>
        <v/>
      </c>
      <c r="H534" s="14" t="str">
        <f aca="false">IF(F534="","",IFERROR(F534-F533-(E534-E533),0))</f>
        <v/>
      </c>
    </row>
    <row r="535" customFormat="false" ht="15" hidden="false" customHeight="false" outlineLevel="0" collapsed="false">
      <c r="A535" s="13" t="str">
        <f aca="false">IF(Prices!A535="","",Prices!A535)</f>
        <v/>
      </c>
      <c r="B535" s="14" t="str">
        <f aca="false">IF(A535="","",Prices!C535)</f>
        <v/>
      </c>
      <c r="C535" s="15" t="str">
        <f aca="false">IF(A535="","",IFERROR(INDEX(FX!$B:$B,MATCH(A535,FX!$A:$A,1)),""))</f>
        <v/>
      </c>
      <c r="D535" s="14" t="str">
        <f aca="false">IF(A535="","",SUMIFS(Transactions!$D:$D,Transactions!$A:$A,"&lt;="&amp;A535,Transactions!$B:$B,Settings!$B$1))</f>
        <v/>
      </c>
      <c r="E535" s="14" t="str">
        <f aca="false">IF(A535="","",SUMIFS(Transactions!$C:$C,Transactions!$A:$A,"&lt;="&amp;A535,Transactions!$B:$B,Settings!$B$1)+SUMIFS(Transactions!$F:$F,Transactions!$A:$A,"&lt;="&amp;A535,Transactions!$B:$B,Settings!$B$1))</f>
        <v/>
      </c>
      <c r="F535" s="14" t="str">
        <f aca="false">IF(A535="","",IF(C535="","",D535*B535*C535))</f>
        <v/>
      </c>
      <c r="G535" s="14" t="str">
        <f aca="false">IF(F535="","",F535-E535)</f>
        <v/>
      </c>
      <c r="H535" s="14" t="str">
        <f aca="false">IF(F535="","",IFERROR(F535-F534-(E535-E534),0))</f>
        <v/>
      </c>
    </row>
    <row r="536" customFormat="false" ht="15" hidden="false" customHeight="false" outlineLevel="0" collapsed="false">
      <c r="A536" s="13" t="str">
        <f aca="false">IF(Prices!A536="","",Prices!A536)</f>
        <v/>
      </c>
      <c r="B536" s="14" t="str">
        <f aca="false">IF(A536="","",Prices!C536)</f>
        <v/>
      </c>
      <c r="C536" s="15" t="str">
        <f aca="false">IF(A536="","",IFERROR(INDEX(FX!$B:$B,MATCH(A536,FX!$A:$A,1)),""))</f>
        <v/>
      </c>
      <c r="D536" s="14" t="str">
        <f aca="false">IF(A536="","",SUMIFS(Transactions!$D:$D,Transactions!$A:$A,"&lt;="&amp;A536,Transactions!$B:$B,Settings!$B$1))</f>
        <v/>
      </c>
      <c r="E536" s="14" t="str">
        <f aca="false">IF(A536="","",SUMIFS(Transactions!$C:$C,Transactions!$A:$A,"&lt;="&amp;A536,Transactions!$B:$B,Settings!$B$1)+SUMIFS(Transactions!$F:$F,Transactions!$A:$A,"&lt;="&amp;A536,Transactions!$B:$B,Settings!$B$1))</f>
        <v/>
      </c>
      <c r="F536" s="14" t="str">
        <f aca="false">IF(A536="","",IF(C536="","",D536*B536*C536))</f>
        <v/>
      </c>
      <c r="G536" s="14" t="str">
        <f aca="false">IF(F536="","",F536-E536)</f>
        <v/>
      </c>
      <c r="H536" s="14" t="str">
        <f aca="false">IF(F536="","",IFERROR(F536-F535-(E536-E535),0))</f>
        <v/>
      </c>
    </row>
    <row r="537" customFormat="false" ht="15" hidden="false" customHeight="false" outlineLevel="0" collapsed="false">
      <c r="A537" s="13" t="str">
        <f aca="false">IF(Prices!A537="","",Prices!A537)</f>
        <v/>
      </c>
      <c r="B537" s="14" t="str">
        <f aca="false">IF(A537="","",Prices!C537)</f>
        <v/>
      </c>
      <c r="C537" s="15" t="str">
        <f aca="false">IF(A537="","",IFERROR(INDEX(FX!$B:$B,MATCH(A537,FX!$A:$A,1)),""))</f>
        <v/>
      </c>
      <c r="D537" s="14" t="str">
        <f aca="false">IF(A537="","",SUMIFS(Transactions!$D:$D,Transactions!$A:$A,"&lt;="&amp;A537,Transactions!$B:$B,Settings!$B$1))</f>
        <v/>
      </c>
      <c r="E537" s="14" t="str">
        <f aca="false">IF(A537="","",SUMIFS(Transactions!$C:$C,Transactions!$A:$A,"&lt;="&amp;A537,Transactions!$B:$B,Settings!$B$1)+SUMIFS(Transactions!$F:$F,Transactions!$A:$A,"&lt;="&amp;A537,Transactions!$B:$B,Settings!$B$1))</f>
        <v/>
      </c>
      <c r="F537" s="14" t="str">
        <f aca="false">IF(A537="","",IF(C537="","",D537*B537*C537))</f>
        <v/>
      </c>
      <c r="G537" s="14" t="str">
        <f aca="false">IF(F537="","",F537-E537)</f>
        <v/>
      </c>
      <c r="H537" s="14" t="str">
        <f aca="false">IF(F537="","",IFERROR(F537-F536-(E537-E536),0))</f>
        <v/>
      </c>
    </row>
    <row r="538" customFormat="false" ht="15" hidden="false" customHeight="false" outlineLevel="0" collapsed="false">
      <c r="A538" s="13" t="str">
        <f aca="false">IF(Prices!A538="","",Prices!A538)</f>
        <v/>
      </c>
      <c r="B538" s="14" t="str">
        <f aca="false">IF(A538="","",Prices!C538)</f>
        <v/>
      </c>
      <c r="C538" s="15" t="str">
        <f aca="false">IF(A538="","",IFERROR(INDEX(FX!$B:$B,MATCH(A538,FX!$A:$A,1)),""))</f>
        <v/>
      </c>
      <c r="D538" s="14" t="str">
        <f aca="false">IF(A538="","",SUMIFS(Transactions!$D:$D,Transactions!$A:$A,"&lt;="&amp;A538,Transactions!$B:$B,Settings!$B$1))</f>
        <v/>
      </c>
      <c r="E538" s="14" t="str">
        <f aca="false">IF(A538="","",SUMIFS(Transactions!$C:$C,Transactions!$A:$A,"&lt;="&amp;A538,Transactions!$B:$B,Settings!$B$1)+SUMIFS(Transactions!$F:$F,Transactions!$A:$A,"&lt;="&amp;A538,Transactions!$B:$B,Settings!$B$1))</f>
        <v/>
      </c>
      <c r="F538" s="14" t="str">
        <f aca="false">IF(A538="","",IF(C538="","",D538*B538*C538))</f>
        <v/>
      </c>
      <c r="G538" s="14" t="str">
        <f aca="false">IF(F538="","",F538-E538)</f>
        <v/>
      </c>
      <c r="H538" s="14" t="str">
        <f aca="false">IF(F538="","",IFERROR(F538-F537-(E538-E537),0))</f>
        <v/>
      </c>
    </row>
    <row r="539" customFormat="false" ht="15" hidden="false" customHeight="false" outlineLevel="0" collapsed="false">
      <c r="A539" s="13" t="str">
        <f aca="false">IF(Prices!A539="","",Prices!A539)</f>
        <v/>
      </c>
      <c r="B539" s="14" t="str">
        <f aca="false">IF(A539="","",Prices!C539)</f>
        <v/>
      </c>
      <c r="C539" s="15" t="str">
        <f aca="false">IF(A539="","",IFERROR(INDEX(FX!$B:$B,MATCH(A539,FX!$A:$A,1)),""))</f>
        <v/>
      </c>
      <c r="D539" s="14" t="str">
        <f aca="false">IF(A539="","",SUMIFS(Transactions!$D:$D,Transactions!$A:$A,"&lt;="&amp;A539,Transactions!$B:$B,Settings!$B$1))</f>
        <v/>
      </c>
      <c r="E539" s="14" t="str">
        <f aca="false">IF(A539="","",SUMIFS(Transactions!$C:$C,Transactions!$A:$A,"&lt;="&amp;A539,Transactions!$B:$B,Settings!$B$1)+SUMIFS(Transactions!$F:$F,Transactions!$A:$A,"&lt;="&amp;A539,Transactions!$B:$B,Settings!$B$1))</f>
        <v/>
      </c>
      <c r="F539" s="14" t="str">
        <f aca="false">IF(A539="","",IF(C539="","",D539*B539*C539))</f>
        <v/>
      </c>
      <c r="G539" s="14" t="str">
        <f aca="false">IF(F539="","",F539-E539)</f>
        <v/>
      </c>
      <c r="H539" s="14" t="str">
        <f aca="false">IF(F539="","",IFERROR(F539-F538-(E539-E538),0))</f>
        <v/>
      </c>
    </row>
    <row r="540" customFormat="false" ht="15" hidden="false" customHeight="false" outlineLevel="0" collapsed="false">
      <c r="A540" s="13" t="str">
        <f aca="false">IF(Prices!A540="","",Prices!A540)</f>
        <v/>
      </c>
      <c r="B540" s="14" t="str">
        <f aca="false">IF(A540="","",Prices!C540)</f>
        <v/>
      </c>
      <c r="C540" s="15" t="str">
        <f aca="false">IF(A540="","",IFERROR(INDEX(FX!$B:$B,MATCH(A540,FX!$A:$A,1)),""))</f>
        <v/>
      </c>
      <c r="D540" s="14" t="str">
        <f aca="false">IF(A540="","",SUMIFS(Transactions!$D:$D,Transactions!$A:$A,"&lt;="&amp;A540,Transactions!$B:$B,Settings!$B$1))</f>
        <v/>
      </c>
      <c r="E540" s="14" t="str">
        <f aca="false">IF(A540="","",SUMIFS(Transactions!$C:$C,Transactions!$A:$A,"&lt;="&amp;A540,Transactions!$B:$B,Settings!$B$1)+SUMIFS(Transactions!$F:$F,Transactions!$A:$A,"&lt;="&amp;A540,Transactions!$B:$B,Settings!$B$1))</f>
        <v/>
      </c>
      <c r="F540" s="14" t="str">
        <f aca="false">IF(A540="","",IF(C540="","",D540*B540*C540))</f>
        <v/>
      </c>
      <c r="G540" s="14" t="str">
        <f aca="false">IF(F540="","",F540-E540)</f>
        <v/>
      </c>
      <c r="H540" s="14" t="str">
        <f aca="false">IF(F540="","",IFERROR(F540-F539-(E540-E539),0))</f>
        <v/>
      </c>
    </row>
    <row r="541" customFormat="false" ht="15" hidden="false" customHeight="false" outlineLevel="0" collapsed="false">
      <c r="A541" s="13" t="str">
        <f aca="false">IF(Prices!A541="","",Prices!A541)</f>
        <v/>
      </c>
      <c r="B541" s="14" t="str">
        <f aca="false">IF(A541="","",Prices!C541)</f>
        <v/>
      </c>
      <c r="C541" s="15" t="str">
        <f aca="false">IF(A541="","",IFERROR(INDEX(FX!$B:$B,MATCH(A541,FX!$A:$A,1)),""))</f>
        <v/>
      </c>
      <c r="D541" s="14" t="str">
        <f aca="false">IF(A541="","",SUMIFS(Transactions!$D:$D,Transactions!$A:$A,"&lt;="&amp;A541,Transactions!$B:$B,Settings!$B$1))</f>
        <v/>
      </c>
      <c r="E541" s="14" t="str">
        <f aca="false">IF(A541="","",SUMIFS(Transactions!$C:$C,Transactions!$A:$A,"&lt;="&amp;A541,Transactions!$B:$B,Settings!$B$1)+SUMIFS(Transactions!$F:$F,Transactions!$A:$A,"&lt;="&amp;A541,Transactions!$B:$B,Settings!$B$1))</f>
        <v/>
      </c>
      <c r="F541" s="14" t="str">
        <f aca="false">IF(A541="","",IF(C541="","",D541*B541*C541))</f>
        <v/>
      </c>
      <c r="G541" s="14" t="str">
        <f aca="false">IF(F541="","",F541-E541)</f>
        <v/>
      </c>
      <c r="H541" s="14" t="str">
        <f aca="false">IF(F541="","",IFERROR(F541-F540-(E541-E540),0))</f>
        <v/>
      </c>
    </row>
    <row r="542" customFormat="false" ht="15" hidden="false" customHeight="false" outlineLevel="0" collapsed="false">
      <c r="A542" s="13" t="str">
        <f aca="false">IF(Prices!A542="","",Prices!A542)</f>
        <v/>
      </c>
      <c r="B542" s="14" t="str">
        <f aca="false">IF(A542="","",Prices!C542)</f>
        <v/>
      </c>
      <c r="C542" s="15" t="str">
        <f aca="false">IF(A542="","",IFERROR(INDEX(FX!$B:$B,MATCH(A542,FX!$A:$A,1)),""))</f>
        <v/>
      </c>
      <c r="D542" s="14" t="str">
        <f aca="false">IF(A542="","",SUMIFS(Transactions!$D:$D,Transactions!$A:$A,"&lt;="&amp;A542,Transactions!$B:$B,Settings!$B$1))</f>
        <v/>
      </c>
      <c r="E542" s="14" t="str">
        <f aca="false">IF(A542="","",SUMIFS(Transactions!$C:$C,Transactions!$A:$A,"&lt;="&amp;A542,Transactions!$B:$B,Settings!$B$1)+SUMIFS(Transactions!$F:$F,Transactions!$A:$A,"&lt;="&amp;A542,Transactions!$B:$B,Settings!$B$1))</f>
        <v/>
      </c>
      <c r="F542" s="14" t="str">
        <f aca="false">IF(A542="","",IF(C542="","",D542*B542*C542))</f>
        <v/>
      </c>
      <c r="G542" s="14" t="str">
        <f aca="false">IF(F542="","",F542-E542)</f>
        <v/>
      </c>
      <c r="H542" s="14" t="str">
        <f aca="false">IF(F542="","",IFERROR(F542-F541-(E542-E541),0))</f>
        <v/>
      </c>
    </row>
    <row r="543" customFormat="false" ht="15" hidden="false" customHeight="false" outlineLevel="0" collapsed="false">
      <c r="A543" s="13" t="str">
        <f aca="false">IF(Prices!A543="","",Prices!A543)</f>
        <v/>
      </c>
      <c r="B543" s="14" t="str">
        <f aca="false">IF(A543="","",Prices!C543)</f>
        <v/>
      </c>
      <c r="C543" s="15" t="str">
        <f aca="false">IF(A543="","",IFERROR(INDEX(FX!$B:$B,MATCH(A543,FX!$A:$A,1)),""))</f>
        <v/>
      </c>
      <c r="D543" s="14" t="str">
        <f aca="false">IF(A543="","",SUMIFS(Transactions!$D:$D,Transactions!$A:$A,"&lt;="&amp;A543,Transactions!$B:$B,Settings!$B$1))</f>
        <v/>
      </c>
      <c r="E543" s="14" t="str">
        <f aca="false">IF(A543="","",SUMIFS(Transactions!$C:$C,Transactions!$A:$A,"&lt;="&amp;A543,Transactions!$B:$B,Settings!$B$1)+SUMIFS(Transactions!$F:$F,Transactions!$A:$A,"&lt;="&amp;A543,Transactions!$B:$B,Settings!$B$1))</f>
        <v/>
      </c>
      <c r="F543" s="14" t="str">
        <f aca="false">IF(A543="","",IF(C543="","",D543*B543*C543))</f>
        <v/>
      </c>
      <c r="G543" s="14" t="str">
        <f aca="false">IF(F543="","",F543-E543)</f>
        <v/>
      </c>
      <c r="H543" s="14" t="str">
        <f aca="false">IF(F543="","",IFERROR(F543-F542-(E543-E542),0))</f>
        <v/>
      </c>
    </row>
    <row r="544" customFormat="false" ht="15" hidden="false" customHeight="false" outlineLevel="0" collapsed="false">
      <c r="A544" s="13" t="str">
        <f aca="false">IF(Prices!A544="","",Prices!A544)</f>
        <v/>
      </c>
      <c r="B544" s="14" t="str">
        <f aca="false">IF(A544="","",Prices!C544)</f>
        <v/>
      </c>
      <c r="C544" s="15" t="str">
        <f aca="false">IF(A544="","",IFERROR(INDEX(FX!$B:$B,MATCH(A544,FX!$A:$A,1)),""))</f>
        <v/>
      </c>
      <c r="D544" s="14" t="str">
        <f aca="false">IF(A544="","",SUMIFS(Transactions!$D:$D,Transactions!$A:$A,"&lt;="&amp;A544,Transactions!$B:$B,Settings!$B$1))</f>
        <v/>
      </c>
      <c r="E544" s="14" t="str">
        <f aca="false">IF(A544="","",SUMIFS(Transactions!$C:$C,Transactions!$A:$A,"&lt;="&amp;A544,Transactions!$B:$B,Settings!$B$1)+SUMIFS(Transactions!$F:$F,Transactions!$A:$A,"&lt;="&amp;A544,Transactions!$B:$B,Settings!$B$1))</f>
        <v/>
      </c>
      <c r="F544" s="14" t="str">
        <f aca="false">IF(A544="","",IF(C544="","",D544*B544*C544))</f>
        <v/>
      </c>
      <c r="G544" s="14" t="str">
        <f aca="false">IF(F544="","",F544-E544)</f>
        <v/>
      </c>
      <c r="H544" s="14" t="str">
        <f aca="false">IF(F544="","",IFERROR(F544-F543-(E544-E543),0))</f>
        <v/>
      </c>
    </row>
    <row r="545" customFormat="false" ht="15" hidden="false" customHeight="false" outlineLevel="0" collapsed="false">
      <c r="A545" s="13" t="str">
        <f aca="false">IF(Prices!A545="","",Prices!A545)</f>
        <v/>
      </c>
      <c r="B545" s="14" t="str">
        <f aca="false">IF(A545="","",Prices!C545)</f>
        <v/>
      </c>
      <c r="C545" s="15" t="str">
        <f aca="false">IF(A545="","",IFERROR(INDEX(FX!$B:$B,MATCH(A545,FX!$A:$A,1)),""))</f>
        <v/>
      </c>
      <c r="D545" s="14" t="str">
        <f aca="false">IF(A545="","",SUMIFS(Transactions!$D:$D,Transactions!$A:$A,"&lt;="&amp;A545,Transactions!$B:$B,Settings!$B$1))</f>
        <v/>
      </c>
      <c r="E545" s="14" t="str">
        <f aca="false">IF(A545="","",SUMIFS(Transactions!$C:$C,Transactions!$A:$A,"&lt;="&amp;A545,Transactions!$B:$B,Settings!$B$1)+SUMIFS(Transactions!$F:$F,Transactions!$A:$A,"&lt;="&amp;A545,Transactions!$B:$B,Settings!$B$1))</f>
        <v/>
      </c>
      <c r="F545" s="14" t="str">
        <f aca="false">IF(A545="","",IF(C545="","",D545*B545*C545))</f>
        <v/>
      </c>
      <c r="G545" s="14" t="str">
        <f aca="false">IF(F545="","",F545-E545)</f>
        <v/>
      </c>
      <c r="H545" s="14" t="str">
        <f aca="false">IF(F545="","",IFERROR(F545-F544-(E545-E544),0))</f>
        <v/>
      </c>
    </row>
    <row r="546" customFormat="false" ht="15" hidden="false" customHeight="false" outlineLevel="0" collapsed="false">
      <c r="A546" s="13" t="str">
        <f aca="false">IF(Prices!A546="","",Prices!A546)</f>
        <v/>
      </c>
      <c r="B546" s="14" t="str">
        <f aca="false">IF(A546="","",Prices!C546)</f>
        <v/>
      </c>
      <c r="C546" s="15" t="str">
        <f aca="false">IF(A546="","",IFERROR(INDEX(FX!$B:$B,MATCH(A546,FX!$A:$A,1)),""))</f>
        <v/>
      </c>
      <c r="D546" s="14" t="str">
        <f aca="false">IF(A546="","",SUMIFS(Transactions!$D:$D,Transactions!$A:$A,"&lt;="&amp;A546,Transactions!$B:$B,Settings!$B$1))</f>
        <v/>
      </c>
      <c r="E546" s="14" t="str">
        <f aca="false">IF(A546="","",SUMIFS(Transactions!$C:$C,Transactions!$A:$A,"&lt;="&amp;A546,Transactions!$B:$B,Settings!$B$1)+SUMIFS(Transactions!$F:$F,Transactions!$A:$A,"&lt;="&amp;A546,Transactions!$B:$B,Settings!$B$1))</f>
        <v/>
      </c>
      <c r="F546" s="14" t="str">
        <f aca="false">IF(A546="","",IF(C546="","",D546*B546*C546))</f>
        <v/>
      </c>
      <c r="G546" s="14" t="str">
        <f aca="false">IF(F546="","",F546-E546)</f>
        <v/>
      </c>
      <c r="H546" s="14" t="str">
        <f aca="false">IF(F546="","",IFERROR(F546-F545-(E546-E545),0))</f>
        <v/>
      </c>
    </row>
    <row r="547" customFormat="false" ht="15" hidden="false" customHeight="false" outlineLevel="0" collapsed="false">
      <c r="A547" s="13" t="str">
        <f aca="false">IF(Prices!A547="","",Prices!A547)</f>
        <v/>
      </c>
      <c r="B547" s="14" t="str">
        <f aca="false">IF(A547="","",Prices!C547)</f>
        <v/>
      </c>
      <c r="C547" s="15" t="str">
        <f aca="false">IF(A547="","",IFERROR(INDEX(FX!$B:$B,MATCH(A547,FX!$A:$A,1)),""))</f>
        <v/>
      </c>
      <c r="D547" s="14" t="str">
        <f aca="false">IF(A547="","",SUMIFS(Transactions!$D:$D,Transactions!$A:$A,"&lt;="&amp;A547,Transactions!$B:$B,Settings!$B$1))</f>
        <v/>
      </c>
      <c r="E547" s="14" t="str">
        <f aca="false">IF(A547="","",SUMIFS(Transactions!$C:$C,Transactions!$A:$A,"&lt;="&amp;A547,Transactions!$B:$B,Settings!$B$1)+SUMIFS(Transactions!$F:$F,Transactions!$A:$A,"&lt;="&amp;A547,Transactions!$B:$B,Settings!$B$1))</f>
        <v/>
      </c>
      <c r="F547" s="14" t="str">
        <f aca="false">IF(A547="","",IF(C547="","",D547*B547*C547))</f>
        <v/>
      </c>
      <c r="G547" s="14" t="str">
        <f aca="false">IF(F547="","",F547-E547)</f>
        <v/>
      </c>
      <c r="H547" s="14" t="str">
        <f aca="false">IF(F547="","",IFERROR(F547-F546-(E547-E546),0))</f>
        <v/>
      </c>
    </row>
    <row r="548" customFormat="false" ht="15" hidden="false" customHeight="false" outlineLevel="0" collapsed="false">
      <c r="A548" s="13" t="str">
        <f aca="false">IF(Prices!A548="","",Prices!A548)</f>
        <v/>
      </c>
      <c r="B548" s="14" t="str">
        <f aca="false">IF(A548="","",Prices!C548)</f>
        <v/>
      </c>
      <c r="C548" s="15" t="str">
        <f aca="false">IF(A548="","",IFERROR(INDEX(FX!$B:$B,MATCH(A548,FX!$A:$A,1)),""))</f>
        <v/>
      </c>
      <c r="D548" s="14" t="str">
        <f aca="false">IF(A548="","",SUMIFS(Transactions!$D:$D,Transactions!$A:$A,"&lt;="&amp;A548,Transactions!$B:$B,Settings!$B$1))</f>
        <v/>
      </c>
      <c r="E548" s="14" t="str">
        <f aca="false">IF(A548="","",SUMIFS(Transactions!$C:$C,Transactions!$A:$A,"&lt;="&amp;A548,Transactions!$B:$B,Settings!$B$1)+SUMIFS(Transactions!$F:$F,Transactions!$A:$A,"&lt;="&amp;A548,Transactions!$B:$B,Settings!$B$1))</f>
        <v/>
      </c>
      <c r="F548" s="14" t="str">
        <f aca="false">IF(A548="","",IF(C548="","",D548*B548*C548))</f>
        <v/>
      </c>
      <c r="G548" s="14" t="str">
        <f aca="false">IF(F548="","",F548-E548)</f>
        <v/>
      </c>
      <c r="H548" s="14" t="str">
        <f aca="false">IF(F548="","",IFERROR(F548-F547-(E548-E547),0))</f>
        <v/>
      </c>
    </row>
    <row r="549" customFormat="false" ht="15" hidden="false" customHeight="false" outlineLevel="0" collapsed="false">
      <c r="A549" s="13" t="str">
        <f aca="false">IF(Prices!A549="","",Prices!A549)</f>
        <v/>
      </c>
      <c r="B549" s="14" t="str">
        <f aca="false">IF(A549="","",Prices!C549)</f>
        <v/>
      </c>
      <c r="C549" s="15" t="str">
        <f aca="false">IF(A549="","",IFERROR(INDEX(FX!$B:$B,MATCH(A549,FX!$A:$A,1)),""))</f>
        <v/>
      </c>
      <c r="D549" s="14" t="str">
        <f aca="false">IF(A549="","",SUMIFS(Transactions!$D:$D,Transactions!$A:$A,"&lt;="&amp;A549,Transactions!$B:$B,Settings!$B$1))</f>
        <v/>
      </c>
      <c r="E549" s="14" t="str">
        <f aca="false">IF(A549="","",SUMIFS(Transactions!$C:$C,Transactions!$A:$A,"&lt;="&amp;A549,Transactions!$B:$B,Settings!$B$1)+SUMIFS(Transactions!$F:$F,Transactions!$A:$A,"&lt;="&amp;A549,Transactions!$B:$B,Settings!$B$1))</f>
        <v/>
      </c>
      <c r="F549" s="14" t="str">
        <f aca="false">IF(A549="","",IF(C549="","",D549*B549*C549))</f>
        <v/>
      </c>
      <c r="G549" s="14" t="str">
        <f aca="false">IF(F549="","",F549-E549)</f>
        <v/>
      </c>
      <c r="H549" s="14" t="str">
        <f aca="false">IF(F549="","",IFERROR(F549-F548-(E549-E548),0))</f>
        <v/>
      </c>
    </row>
    <row r="550" customFormat="false" ht="15" hidden="false" customHeight="false" outlineLevel="0" collapsed="false">
      <c r="A550" s="13" t="str">
        <f aca="false">IF(Prices!A550="","",Prices!A550)</f>
        <v/>
      </c>
      <c r="B550" s="14" t="str">
        <f aca="false">IF(A550="","",Prices!C550)</f>
        <v/>
      </c>
      <c r="C550" s="15" t="str">
        <f aca="false">IF(A550="","",IFERROR(INDEX(FX!$B:$B,MATCH(A550,FX!$A:$A,1)),""))</f>
        <v/>
      </c>
      <c r="D550" s="14" t="str">
        <f aca="false">IF(A550="","",SUMIFS(Transactions!$D:$D,Transactions!$A:$A,"&lt;="&amp;A550,Transactions!$B:$B,Settings!$B$1))</f>
        <v/>
      </c>
      <c r="E550" s="14" t="str">
        <f aca="false">IF(A550="","",SUMIFS(Transactions!$C:$C,Transactions!$A:$A,"&lt;="&amp;A550,Transactions!$B:$B,Settings!$B$1)+SUMIFS(Transactions!$F:$F,Transactions!$A:$A,"&lt;="&amp;A550,Transactions!$B:$B,Settings!$B$1))</f>
        <v/>
      </c>
      <c r="F550" s="14" t="str">
        <f aca="false">IF(A550="","",IF(C550="","",D550*B550*C550))</f>
        <v/>
      </c>
      <c r="G550" s="14" t="str">
        <f aca="false">IF(F550="","",F550-E550)</f>
        <v/>
      </c>
      <c r="H550" s="14" t="str">
        <f aca="false">IF(F550="","",IFERROR(F550-F549-(E550-E549),0))</f>
        <v/>
      </c>
    </row>
    <row r="551" customFormat="false" ht="15" hidden="false" customHeight="false" outlineLevel="0" collapsed="false">
      <c r="A551" s="13" t="str">
        <f aca="false">IF(Prices!A551="","",Prices!A551)</f>
        <v/>
      </c>
      <c r="B551" s="14" t="str">
        <f aca="false">IF(A551="","",Prices!C551)</f>
        <v/>
      </c>
      <c r="C551" s="15" t="str">
        <f aca="false">IF(A551="","",IFERROR(INDEX(FX!$B:$B,MATCH(A551,FX!$A:$A,1)),""))</f>
        <v/>
      </c>
      <c r="D551" s="14" t="str">
        <f aca="false">IF(A551="","",SUMIFS(Transactions!$D:$D,Transactions!$A:$A,"&lt;="&amp;A551,Transactions!$B:$B,Settings!$B$1))</f>
        <v/>
      </c>
      <c r="E551" s="14" t="str">
        <f aca="false">IF(A551="","",SUMIFS(Transactions!$C:$C,Transactions!$A:$A,"&lt;="&amp;A551,Transactions!$B:$B,Settings!$B$1)+SUMIFS(Transactions!$F:$F,Transactions!$A:$A,"&lt;="&amp;A551,Transactions!$B:$B,Settings!$B$1))</f>
        <v/>
      </c>
      <c r="F551" s="14" t="str">
        <f aca="false">IF(A551="","",IF(C551="","",D551*B551*C551))</f>
        <v/>
      </c>
      <c r="G551" s="14" t="str">
        <f aca="false">IF(F551="","",F551-E551)</f>
        <v/>
      </c>
      <c r="H551" s="14" t="str">
        <f aca="false">IF(F551="","",IFERROR(F551-F550-(E551-E550),0))</f>
        <v/>
      </c>
    </row>
    <row r="552" customFormat="false" ht="15" hidden="false" customHeight="false" outlineLevel="0" collapsed="false">
      <c r="A552" s="13" t="str">
        <f aca="false">IF(Prices!A552="","",Prices!A552)</f>
        <v/>
      </c>
      <c r="B552" s="14" t="str">
        <f aca="false">IF(A552="","",Prices!C552)</f>
        <v/>
      </c>
      <c r="C552" s="15" t="str">
        <f aca="false">IF(A552="","",IFERROR(INDEX(FX!$B:$B,MATCH(A552,FX!$A:$A,1)),""))</f>
        <v/>
      </c>
      <c r="D552" s="14" t="str">
        <f aca="false">IF(A552="","",SUMIFS(Transactions!$D:$D,Transactions!$A:$A,"&lt;="&amp;A552,Transactions!$B:$B,Settings!$B$1))</f>
        <v/>
      </c>
      <c r="E552" s="14" t="str">
        <f aca="false">IF(A552="","",SUMIFS(Transactions!$C:$C,Transactions!$A:$A,"&lt;="&amp;A552,Transactions!$B:$B,Settings!$B$1)+SUMIFS(Transactions!$F:$F,Transactions!$A:$A,"&lt;="&amp;A552,Transactions!$B:$B,Settings!$B$1))</f>
        <v/>
      </c>
      <c r="F552" s="14" t="str">
        <f aca="false">IF(A552="","",IF(C552="","",D552*B552*C552))</f>
        <v/>
      </c>
      <c r="G552" s="14" t="str">
        <f aca="false">IF(F552="","",F552-E552)</f>
        <v/>
      </c>
      <c r="H552" s="14" t="str">
        <f aca="false">IF(F552="","",IFERROR(F552-F551-(E552-E551),0))</f>
        <v/>
      </c>
    </row>
    <row r="553" customFormat="false" ht="15" hidden="false" customHeight="false" outlineLevel="0" collapsed="false">
      <c r="A553" s="13" t="str">
        <f aca="false">IF(Prices!A553="","",Prices!A553)</f>
        <v/>
      </c>
      <c r="B553" s="14" t="str">
        <f aca="false">IF(A553="","",Prices!C553)</f>
        <v/>
      </c>
      <c r="C553" s="15" t="str">
        <f aca="false">IF(A553="","",IFERROR(INDEX(FX!$B:$B,MATCH(A553,FX!$A:$A,1)),""))</f>
        <v/>
      </c>
      <c r="D553" s="14" t="str">
        <f aca="false">IF(A553="","",SUMIFS(Transactions!$D:$D,Transactions!$A:$A,"&lt;="&amp;A553,Transactions!$B:$B,Settings!$B$1))</f>
        <v/>
      </c>
      <c r="E553" s="14" t="str">
        <f aca="false">IF(A553="","",SUMIFS(Transactions!$C:$C,Transactions!$A:$A,"&lt;="&amp;A553,Transactions!$B:$B,Settings!$B$1)+SUMIFS(Transactions!$F:$F,Transactions!$A:$A,"&lt;="&amp;A553,Transactions!$B:$B,Settings!$B$1))</f>
        <v/>
      </c>
      <c r="F553" s="14" t="str">
        <f aca="false">IF(A553="","",IF(C553="","",D553*B553*C553))</f>
        <v/>
      </c>
      <c r="G553" s="14" t="str">
        <f aca="false">IF(F553="","",F553-E553)</f>
        <v/>
      </c>
      <c r="H553" s="14" t="str">
        <f aca="false">IF(F553="","",IFERROR(F553-F552-(E553-E552),0))</f>
        <v/>
      </c>
    </row>
    <row r="554" customFormat="false" ht="15" hidden="false" customHeight="false" outlineLevel="0" collapsed="false">
      <c r="A554" s="13" t="str">
        <f aca="false">IF(Prices!A554="","",Prices!A554)</f>
        <v/>
      </c>
      <c r="B554" s="14" t="str">
        <f aca="false">IF(A554="","",Prices!C554)</f>
        <v/>
      </c>
      <c r="C554" s="15" t="str">
        <f aca="false">IF(A554="","",IFERROR(INDEX(FX!$B:$B,MATCH(A554,FX!$A:$A,1)),""))</f>
        <v/>
      </c>
      <c r="D554" s="14" t="str">
        <f aca="false">IF(A554="","",SUMIFS(Transactions!$D:$D,Transactions!$A:$A,"&lt;="&amp;A554,Transactions!$B:$B,Settings!$B$1))</f>
        <v/>
      </c>
      <c r="E554" s="14" t="str">
        <f aca="false">IF(A554="","",SUMIFS(Transactions!$C:$C,Transactions!$A:$A,"&lt;="&amp;A554,Transactions!$B:$B,Settings!$B$1)+SUMIFS(Transactions!$F:$F,Transactions!$A:$A,"&lt;="&amp;A554,Transactions!$B:$B,Settings!$B$1))</f>
        <v/>
      </c>
      <c r="F554" s="14" t="str">
        <f aca="false">IF(A554="","",IF(C554="","",D554*B554*C554))</f>
        <v/>
      </c>
      <c r="G554" s="14" t="str">
        <f aca="false">IF(F554="","",F554-E554)</f>
        <v/>
      </c>
      <c r="H554" s="14" t="str">
        <f aca="false">IF(F554="","",IFERROR(F554-F553-(E554-E553),0))</f>
        <v/>
      </c>
    </row>
    <row r="555" customFormat="false" ht="15" hidden="false" customHeight="false" outlineLevel="0" collapsed="false">
      <c r="A555" s="13" t="str">
        <f aca="false">IF(Prices!A555="","",Prices!A555)</f>
        <v/>
      </c>
      <c r="B555" s="14" t="str">
        <f aca="false">IF(A555="","",Prices!C555)</f>
        <v/>
      </c>
      <c r="C555" s="15" t="str">
        <f aca="false">IF(A555="","",IFERROR(INDEX(FX!$B:$B,MATCH(A555,FX!$A:$A,1)),""))</f>
        <v/>
      </c>
      <c r="D555" s="14" t="str">
        <f aca="false">IF(A555="","",SUMIFS(Transactions!$D:$D,Transactions!$A:$A,"&lt;="&amp;A555,Transactions!$B:$B,Settings!$B$1))</f>
        <v/>
      </c>
      <c r="E555" s="14" t="str">
        <f aca="false">IF(A555="","",SUMIFS(Transactions!$C:$C,Transactions!$A:$A,"&lt;="&amp;A555,Transactions!$B:$B,Settings!$B$1)+SUMIFS(Transactions!$F:$F,Transactions!$A:$A,"&lt;="&amp;A555,Transactions!$B:$B,Settings!$B$1))</f>
        <v/>
      </c>
      <c r="F555" s="14" t="str">
        <f aca="false">IF(A555="","",IF(C555="","",D555*B555*C555))</f>
        <v/>
      </c>
      <c r="G555" s="14" t="str">
        <f aca="false">IF(F555="","",F555-E555)</f>
        <v/>
      </c>
      <c r="H555" s="14" t="str">
        <f aca="false">IF(F555="","",IFERROR(F555-F554-(E555-E554),0))</f>
        <v/>
      </c>
    </row>
    <row r="556" customFormat="false" ht="15" hidden="false" customHeight="false" outlineLevel="0" collapsed="false">
      <c r="A556" s="13" t="str">
        <f aca="false">IF(Prices!A556="","",Prices!A556)</f>
        <v/>
      </c>
      <c r="B556" s="14" t="str">
        <f aca="false">IF(A556="","",Prices!C556)</f>
        <v/>
      </c>
      <c r="C556" s="15" t="str">
        <f aca="false">IF(A556="","",IFERROR(INDEX(FX!$B:$B,MATCH(A556,FX!$A:$A,1)),""))</f>
        <v/>
      </c>
      <c r="D556" s="14" t="str">
        <f aca="false">IF(A556="","",SUMIFS(Transactions!$D:$D,Transactions!$A:$A,"&lt;="&amp;A556,Transactions!$B:$B,Settings!$B$1))</f>
        <v/>
      </c>
      <c r="E556" s="14" t="str">
        <f aca="false">IF(A556="","",SUMIFS(Transactions!$C:$C,Transactions!$A:$A,"&lt;="&amp;A556,Transactions!$B:$B,Settings!$B$1)+SUMIFS(Transactions!$F:$F,Transactions!$A:$A,"&lt;="&amp;A556,Transactions!$B:$B,Settings!$B$1))</f>
        <v/>
      </c>
      <c r="F556" s="14" t="str">
        <f aca="false">IF(A556="","",IF(C556="","",D556*B556*C556))</f>
        <v/>
      </c>
      <c r="G556" s="14" t="str">
        <f aca="false">IF(F556="","",F556-E556)</f>
        <v/>
      </c>
      <c r="H556" s="14" t="str">
        <f aca="false">IF(F556="","",IFERROR(F556-F555-(E556-E555),0))</f>
        <v/>
      </c>
    </row>
    <row r="557" customFormat="false" ht="15" hidden="false" customHeight="false" outlineLevel="0" collapsed="false">
      <c r="A557" s="13" t="str">
        <f aca="false">IF(Prices!A557="","",Prices!A557)</f>
        <v/>
      </c>
      <c r="B557" s="14" t="str">
        <f aca="false">IF(A557="","",Prices!C557)</f>
        <v/>
      </c>
      <c r="C557" s="15" t="str">
        <f aca="false">IF(A557="","",IFERROR(INDEX(FX!$B:$B,MATCH(A557,FX!$A:$A,1)),""))</f>
        <v/>
      </c>
      <c r="D557" s="14" t="str">
        <f aca="false">IF(A557="","",SUMIFS(Transactions!$D:$D,Transactions!$A:$A,"&lt;="&amp;A557,Transactions!$B:$B,Settings!$B$1))</f>
        <v/>
      </c>
      <c r="E557" s="14" t="str">
        <f aca="false">IF(A557="","",SUMIFS(Transactions!$C:$C,Transactions!$A:$A,"&lt;="&amp;A557,Transactions!$B:$B,Settings!$B$1)+SUMIFS(Transactions!$F:$F,Transactions!$A:$A,"&lt;="&amp;A557,Transactions!$B:$B,Settings!$B$1))</f>
        <v/>
      </c>
      <c r="F557" s="14" t="str">
        <f aca="false">IF(A557="","",IF(C557="","",D557*B557*C557))</f>
        <v/>
      </c>
      <c r="G557" s="14" t="str">
        <f aca="false">IF(F557="","",F557-E557)</f>
        <v/>
      </c>
      <c r="H557" s="14" t="str">
        <f aca="false">IF(F557="","",IFERROR(F557-F556-(E557-E556),0))</f>
        <v/>
      </c>
    </row>
    <row r="558" customFormat="false" ht="15" hidden="false" customHeight="false" outlineLevel="0" collapsed="false">
      <c r="A558" s="13" t="str">
        <f aca="false">IF(Prices!A558="","",Prices!A558)</f>
        <v/>
      </c>
      <c r="B558" s="14" t="str">
        <f aca="false">IF(A558="","",Prices!C558)</f>
        <v/>
      </c>
      <c r="C558" s="15" t="str">
        <f aca="false">IF(A558="","",IFERROR(INDEX(FX!$B:$B,MATCH(A558,FX!$A:$A,1)),""))</f>
        <v/>
      </c>
      <c r="D558" s="14" t="str">
        <f aca="false">IF(A558="","",SUMIFS(Transactions!$D:$D,Transactions!$A:$A,"&lt;="&amp;A558,Transactions!$B:$B,Settings!$B$1))</f>
        <v/>
      </c>
      <c r="E558" s="14" t="str">
        <f aca="false">IF(A558="","",SUMIFS(Transactions!$C:$C,Transactions!$A:$A,"&lt;="&amp;A558,Transactions!$B:$B,Settings!$B$1)+SUMIFS(Transactions!$F:$F,Transactions!$A:$A,"&lt;="&amp;A558,Transactions!$B:$B,Settings!$B$1))</f>
        <v/>
      </c>
      <c r="F558" s="14" t="str">
        <f aca="false">IF(A558="","",IF(C558="","",D558*B558*C558))</f>
        <v/>
      </c>
      <c r="G558" s="14" t="str">
        <f aca="false">IF(F558="","",F558-E558)</f>
        <v/>
      </c>
      <c r="H558" s="14" t="str">
        <f aca="false">IF(F558="","",IFERROR(F558-F557-(E558-E557),0))</f>
        <v/>
      </c>
    </row>
    <row r="559" customFormat="false" ht="15" hidden="false" customHeight="false" outlineLevel="0" collapsed="false">
      <c r="A559" s="13" t="str">
        <f aca="false">IF(Prices!A559="","",Prices!A559)</f>
        <v/>
      </c>
      <c r="B559" s="14" t="str">
        <f aca="false">IF(A559="","",Prices!C559)</f>
        <v/>
      </c>
      <c r="C559" s="15" t="str">
        <f aca="false">IF(A559="","",IFERROR(INDEX(FX!$B:$B,MATCH(A559,FX!$A:$A,1)),""))</f>
        <v/>
      </c>
      <c r="D559" s="14" t="str">
        <f aca="false">IF(A559="","",SUMIFS(Transactions!$D:$D,Transactions!$A:$A,"&lt;="&amp;A559,Transactions!$B:$B,Settings!$B$1))</f>
        <v/>
      </c>
      <c r="E559" s="14" t="str">
        <f aca="false">IF(A559="","",SUMIFS(Transactions!$C:$C,Transactions!$A:$A,"&lt;="&amp;A559,Transactions!$B:$B,Settings!$B$1)+SUMIFS(Transactions!$F:$F,Transactions!$A:$A,"&lt;="&amp;A559,Transactions!$B:$B,Settings!$B$1))</f>
        <v/>
      </c>
      <c r="F559" s="14" t="str">
        <f aca="false">IF(A559="","",IF(C559="","",D559*B559*C559))</f>
        <v/>
      </c>
      <c r="G559" s="14" t="str">
        <f aca="false">IF(F559="","",F559-E559)</f>
        <v/>
      </c>
      <c r="H559" s="14" t="str">
        <f aca="false">IF(F559="","",IFERROR(F559-F558-(E559-E558),0))</f>
        <v/>
      </c>
    </row>
    <row r="560" customFormat="false" ht="15" hidden="false" customHeight="false" outlineLevel="0" collapsed="false">
      <c r="A560" s="13" t="str">
        <f aca="false">IF(Prices!A560="","",Prices!A560)</f>
        <v/>
      </c>
      <c r="B560" s="14" t="str">
        <f aca="false">IF(A560="","",Prices!C560)</f>
        <v/>
      </c>
      <c r="C560" s="15" t="str">
        <f aca="false">IF(A560="","",IFERROR(INDEX(FX!$B:$B,MATCH(A560,FX!$A:$A,1)),""))</f>
        <v/>
      </c>
      <c r="D560" s="14" t="str">
        <f aca="false">IF(A560="","",SUMIFS(Transactions!$D:$D,Transactions!$A:$A,"&lt;="&amp;A560,Transactions!$B:$B,Settings!$B$1))</f>
        <v/>
      </c>
      <c r="E560" s="14" t="str">
        <f aca="false">IF(A560="","",SUMIFS(Transactions!$C:$C,Transactions!$A:$A,"&lt;="&amp;A560,Transactions!$B:$B,Settings!$B$1)+SUMIFS(Transactions!$F:$F,Transactions!$A:$A,"&lt;="&amp;A560,Transactions!$B:$B,Settings!$B$1))</f>
        <v/>
      </c>
      <c r="F560" s="14" t="str">
        <f aca="false">IF(A560="","",IF(C560="","",D560*B560*C560))</f>
        <v/>
      </c>
      <c r="G560" s="14" t="str">
        <f aca="false">IF(F560="","",F560-E560)</f>
        <v/>
      </c>
      <c r="H560" s="14" t="str">
        <f aca="false">IF(F560="","",IFERROR(F560-F559-(E560-E559),0))</f>
        <v/>
      </c>
    </row>
    <row r="561" customFormat="false" ht="15" hidden="false" customHeight="false" outlineLevel="0" collapsed="false">
      <c r="A561" s="13" t="str">
        <f aca="false">IF(Prices!A561="","",Prices!A561)</f>
        <v/>
      </c>
      <c r="B561" s="14" t="str">
        <f aca="false">IF(A561="","",Prices!C561)</f>
        <v/>
      </c>
      <c r="C561" s="15" t="str">
        <f aca="false">IF(A561="","",IFERROR(INDEX(FX!$B:$B,MATCH(A561,FX!$A:$A,1)),""))</f>
        <v/>
      </c>
      <c r="D561" s="14" t="str">
        <f aca="false">IF(A561="","",SUMIFS(Transactions!$D:$D,Transactions!$A:$A,"&lt;="&amp;A561,Transactions!$B:$B,Settings!$B$1))</f>
        <v/>
      </c>
      <c r="E561" s="14" t="str">
        <f aca="false">IF(A561="","",SUMIFS(Transactions!$C:$C,Transactions!$A:$A,"&lt;="&amp;A561,Transactions!$B:$B,Settings!$B$1)+SUMIFS(Transactions!$F:$F,Transactions!$A:$A,"&lt;="&amp;A561,Transactions!$B:$B,Settings!$B$1))</f>
        <v/>
      </c>
      <c r="F561" s="14" t="str">
        <f aca="false">IF(A561="","",IF(C561="","",D561*B561*C561))</f>
        <v/>
      </c>
      <c r="G561" s="14" t="str">
        <f aca="false">IF(F561="","",F561-E561)</f>
        <v/>
      </c>
      <c r="H561" s="14" t="str">
        <f aca="false">IF(F561="","",IFERROR(F561-F560-(E561-E560),0))</f>
        <v/>
      </c>
    </row>
    <row r="562" customFormat="false" ht="15" hidden="false" customHeight="false" outlineLevel="0" collapsed="false">
      <c r="A562" s="13" t="str">
        <f aca="false">IF(Prices!A562="","",Prices!A562)</f>
        <v/>
      </c>
      <c r="B562" s="14" t="str">
        <f aca="false">IF(A562="","",Prices!C562)</f>
        <v/>
      </c>
      <c r="C562" s="15" t="str">
        <f aca="false">IF(A562="","",IFERROR(INDEX(FX!$B:$B,MATCH(A562,FX!$A:$A,1)),""))</f>
        <v/>
      </c>
      <c r="D562" s="14" t="str">
        <f aca="false">IF(A562="","",SUMIFS(Transactions!$D:$D,Transactions!$A:$A,"&lt;="&amp;A562,Transactions!$B:$B,Settings!$B$1))</f>
        <v/>
      </c>
      <c r="E562" s="14" t="str">
        <f aca="false">IF(A562="","",SUMIFS(Transactions!$C:$C,Transactions!$A:$A,"&lt;="&amp;A562,Transactions!$B:$B,Settings!$B$1)+SUMIFS(Transactions!$F:$F,Transactions!$A:$A,"&lt;="&amp;A562,Transactions!$B:$B,Settings!$B$1))</f>
        <v/>
      </c>
      <c r="F562" s="14" t="str">
        <f aca="false">IF(A562="","",IF(C562="","",D562*B562*C562))</f>
        <v/>
      </c>
      <c r="G562" s="14" t="str">
        <f aca="false">IF(F562="","",F562-E562)</f>
        <v/>
      </c>
      <c r="H562" s="14" t="str">
        <f aca="false">IF(F562="","",IFERROR(F562-F561-(E562-E561),0))</f>
        <v/>
      </c>
    </row>
    <row r="563" customFormat="false" ht="15" hidden="false" customHeight="false" outlineLevel="0" collapsed="false">
      <c r="A563" s="13" t="str">
        <f aca="false">IF(Prices!A563="","",Prices!A563)</f>
        <v/>
      </c>
      <c r="B563" s="14" t="str">
        <f aca="false">IF(A563="","",Prices!C563)</f>
        <v/>
      </c>
      <c r="C563" s="15" t="str">
        <f aca="false">IF(A563="","",IFERROR(INDEX(FX!$B:$B,MATCH(A563,FX!$A:$A,1)),""))</f>
        <v/>
      </c>
      <c r="D563" s="14" t="str">
        <f aca="false">IF(A563="","",SUMIFS(Transactions!$D:$D,Transactions!$A:$A,"&lt;="&amp;A563,Transactions!$B:$B,Settings!$B$1))</f>
        <v/>
      </c>
      <c r="E563" s="14" t="str">
        <f aca="false">IF(A563="","",SUMIFS(Transactions!$C:$C,Transactions!$A:$A,"&lt;="&amp;A563,Transactions!$B:$B,Settings!$B$1)+SUMIFS(Transactions!$F:$F,Transactions!$A:$A,"&lt;="&amp;A563,Transactions!$B:$B,Settings!$B$1))</f>
        <v/>
      </c>
      <c r="F563" s="14" t="str">
        <f aca="false">IF(A563="","",IF(C563="","",D563*B563*C563))</f>
        <v/>
      </c>
      <c r="G563" s="14" t="str">
        <f aca="false">IF(F563="","",F563-E563)</f>
        <v/>
      </c>
      <c r="H563" s="14" t="str">
        <f aca="false">IF(F563="","",IFERROR(F563-F562-(E563-E562),0))</f>
        <v/>
      </c>
    </row>
    <row r="564" customFormat="false" ht="15" hidden="false" customHeight="false" outlineLevel="0" collapsed="false">
      <c r="A564" s="13" t="str">
        <f aca="false">IF(Prices!A564="","",Prices!A564)</f>
        <v/>
      </c>
      <c r="B564" s="14" t="str">
        <f aca="false">IF(A564="","",Prices!C564)</f>
        <v/>
      </c>
      <c r="C564" s="15" t="str">
        <f aca="false">IF(A564="","",IFERROR(INDEX(FX!$B:$B,MATCH(A564,FX!$A:$A,1)),""))</f>
        <v/>
      </c>
      <c r="D564" s="14" t="str">
        <f aca="false">IF(A564="","",SUMIFS(Transactions!$D:$D,Transactions!$A:$A,"&lt;="&amp;A564,Transactions!$B:$B,Settings!$B$1))</f>
        <v/>
      </c>
      <c r="E564" s="14" t="str">
        <f aca="false">IF(A564="","",SUMIFS(Transactions!$C:$C,Transactions!$A:$A,"&lt;="&amp;A564,Transactions!$B:$B,Settings!$B$1)+SUMIFS(Transactions!$F:$F,Transactions!$A:$A,"&lt;="&amp;A564,Transactions!$B:$B,Settings!$B$1))</f>
        <v/>
      </c>
      <c r="F564" s="14" t="str">
        <f aca="false">IF(A564="","",IF(C564="","",D564*B564*C564))</f>
        <v/>
      </c>
      <c r="G564" s="14" t="str">
        <f aca="false">IF(F564="","",F564-E564)</f>
        <v/>
      </c>
      <c r="H564" s="14" t="str">
        <f aca="false">IF(F564="","",IFERROR(F564-F563-(E564-E563),0))</f>
        <v/>
      </c>
    </row>
    <row r="565" customFormat="false" ht="15" hidden="false" customHeight="false" outlineLevel="0" collapsed="false">
      <c r="A565" s="13" t="str">
        <f aca="false">IF(Prices!A565="","",Prices!A565)</f>
        <v/>
      </c>
      <c r="B565" s="14" t="str">
        <f aca="false">IF(A565="","",Prices!C565)</f>
        <v/>
      </c>
      <c r="C565" s="15" t="str">
        <f aca="false">IF(A565="","",IFERROR(INDEX(FX!$B:$B,MATCH(A565,FX!$A:$A,1)),""))</f>
        <v/>
      </c>
      <c r="D565" s="14" t="str">
        <f aca="false">IF(A565="","",SUMIFS(Transactions!$D:$D,Transactions!$A:$A,"&lt;="&amp;A565,Transactions!$B:$B,Settings!$B$1))</f>
        <v/>
      </c>
      <c r="E565" s="14" t="str">
        <f aca="false">IF(A565="","",SUMIFS(Transactions!$C:$C,Transactions!$A:$A,"&lt;="&amp;A565,Transactions!$B:$B,Settings!$B$1)+SUMIFS(Transactions!$F:$F,Transactions!$A:$A,"&lt;="&amp;A565,Transactions!$B:$B,Settings!$B$1))</f>
        <v/>
      </c>
      <c r="F565" s="14" t="str">
        <f aca="false">IF(A565="","",IF(C565="","",D565*B565*C565))</f>
        <v/>
      </c>
      <c r="G565" s="14" t="str">
        <f aca="false">IF(F565="","",F565-E565)</f>
        <v/>
      </c>
      <c r="H565" s="14" t="str">
        <f aca="false">IF(F565="","",IFERROR(F565-F564-(E565-E564),0))</f>
        <v/>
      </c>
    </row>
    <row r="566" customFormat="false" ht="15" hidden="false" customHeight="false" outlineLevel="0" collapsed="false">
      <c r="A566" s="13" t="str">
        <f aca="false">IF(Prices!A566="","",Prices!A566)</f>
        <v/>
      </c>
      <c r="B566" s="14" t="str">
        <f aca="false">IF(A566="","",Prices!C566)</f>
        <v/>
      </c>
      <c r="C566" s="15" t="str">
        <f aca="false">IF(A566="","",IFERROR(INDEX(FX!$B:$B,MATCH(A566,FX!$A:$A,1)),""))</f>
        <v/>
      </c>
      <c r="D566" s="14" t="str">
        <f aca="false">IF(A566="","",SUMIFS(Transactions!$D:$D,Transactions!$A:$A,"&lt;="&amp;A566,Transactions!$B:$B,Settings!$B$1))</f>
        <v/>
      </c>
      <c r="E566" s="14" t="str">
        <f aca="false">IF(A566="","",SUMIFS(Transactions!$C:$C,Transactions!$A:$A,"&lt;="&amp;A566,Transactions!$B:$B,Settings!$B$1)+SUMIFS(Transactions!$F:$F,Transactions!$A:$A,"&lt;="&amp;A566,Transactions!$B:$B,Settings!$B$1))</f>
        <v/>
      </c>
      <c r="F566" s="14" t="str">
        <f aca="false">IF(A566="","",IF(C566="","",D566*B566*C566))</f>
        <v/>
      </c>
      <c r="G566" s="14" t="str">
        <f aca="false">IF(F566="","",F566-E566)</f>
        <v/>
      </c>
      <c r="H566" s="14" t="str">
        <f aca="false">IF(F566="","",IFERROR(F566-F565-(E566-E565),0))</f>
        <v/>
      </c>
    </row>
    <row r="567" customFormat="false" ht="15" hidden="false" customHeight="false" outlineLevel="0" collapsed="false">
      <c r="A567" s="13" t="str">
        <f aca="false">IF(Prices!A567="","",Prices!A567)</f>
        <v/>
      </c>
      <c r="B567" s="14" t="str">
        <f aca="false">IF(A567="","",Prices!C567)</f>
        <v/>
      </c>
      <c r="C567" s="15" t="str">
        <f aca="false">IF(A567="","",IFERROR(INDEX(FX!$B:$B,MATCH(A567,FX!$A:$A,1)),""))</f>
        <v/>
      </c>
      <c r="D567" s="14" t="str">
        <f aca="false">IF(A567="","",SUMIFS(Transactions!$D:$D,Transactions!$A:$A,"&lt;="&amp;A567,Transactions!$B:$B,Settings!$B$1))</f>
        <v/>
      </c>
      <c r="E567" s="14" t="str">
        <f aca="false">IF(A567="","",SUMIFS(Transactions!$C:$C,Transactions!$A:$A,"&lt;="&amp;A567,Transactions!$B:$B,Settings!$B$1)+SUMIFS(Transactions!$F:$F,Transactions!$A:$A,"&lt;="&amp;A567,Transactions!$B:$B,Settings!$B$1))</f>
        <v/>
      </c>
      <c r="F567" s="14" t="str">
        <f aca="false">IF(A567="","",IF(C567="","",D567*B567*C567))</f>
        <v/>
      </c>
      <c r="G567" s="14" t="str">
        <f aca="false">IF(F567="","",F567-E567)</f>
        <v/>
      </c>
      <c r="H567" s="14" t="str">
        <f aca="false">IF(F567="","",IFERROR(F567-F566-(E567-E566),0))</f>
        <v/>
      </c>
    </row>
    <row r="568" customFormat="false" ht="15" hidden="false" customHeight="false" outlineLevel="0" collapsed="false">
      <c r="A568" s="13" t="str">
        <f aca="false">IF(Prices!A568="","",Prices!A568)</f>
        <v/>
      </c>
      <c r="B568" s="14" t="str">
        <f aca="false">IF(A568="","",Prices!C568)</f>
        <v/>
      </c>
      <c r="C568" s="15" t="str">
        <f aca="false">IF(A568="","",IFERROR(INDEX(FX!$B:$B,MATCH(A568,FX!$A:$A,1)),""))</f>
        <v/>
      </c>
      <c r="D568" s="14" t="str">
        <f aca="false">IF(A568="","",SUMIFS(Transactions!$D:$D,Transactions!$A:$A,"&lt;="&amp;A568,Transactions!$B:$B,Settings!$B$1))</f>
        <v/>
      </c>
      <c r="E568" s="14" t="str">
        <f aca="false">IF(A568="","",SUMIFS(Transactions!$C:$C,Transactions!$A:$A,"&lt;="&amp;A568,Transactions!$B:$B,Settings!$B$1)+SUMIFS(Transactions!$F:$F,Transactions!$A:$A,"&lt;="&amp;A568,Transactions!$B:$B,Settings!$B$1))</f>
        <v/>
      </c>
      <c r="F568" s="14" t="str">
        <f aca="false">IF(A568="","",IF(C568="","",D568*B568*C568))</f>
        <v/>
      </c>
      <c r="G568" s="14" t="str">
        <f aca="false">IF(F568="","",F568-E568)</f>
        <v/>
      </c>
      <c r="H568" s="14" t="str">
        <f aca="false">IF(F568="","",IFERROR(F568-F567-(E568-E567),0))</f>
        <v/>
      </c>
    </row>
    <row r="569" customFormat="false" ht="15" hidden="false" customHeight="false" outlineLevel="0" collapsed="false">
      <c r="A569" s="13" t="str">
        <f aca="false">IF(Prices!A569="","",Prices!A569)</f>
        <v/>
      </c>
      <c r="B569" s="14" t="str">
        <f aca="false">IF(A569="","",Prices!C569)</f>
        <v/>
      </c>
      <c r="C569" s="15" t="str">
        <f aca="false">IF(A569="","",IFERROR(INDEX(FX!$B:$B,MATCH(A569,FX!$A:$A,1)),""))</f>
        <v/>
      </c>
      <c r="D569" s="14" t="str">
        <f aca="false">IF(A569="","",SUMIFS(Transactions!$D:$D,Transactions!$A:$A,"&lt;="&amp;A569,Transactions!$B:$B,Settings!$B$1))</f>
        <v/>
      </c>
      <c r="E569" s="14" t="str">
        <f aca="false">IF(A569="","",SUMIFS(Transactions!$C:$C,Transactions!$A:$A,"&lt;="&amp;A569,Transactions!$B:$B,Settings!$B$1)+SUMIFS(Transactions!$F:$F,Transactions!$A:$A,"&lt;="&amp;A569,Transactions!$B:$B,Settings!$B$1))</f>
        <v/>
      </c>
      <c r="F569" s="14" t="str">
        <f aca="false">IF(A569="","",IF(C569="","",D569*B569*C569))</f>
        <v/>
      </c>
      <c r="G569" s="14" t="str">
        <f aca="false">IF(F569="","",F569-E569)</f>
        <v/>
      </c>
      <c r="H569" s="14" t="str">
        <f aca="false">IF(F569="","",IFERROR(F569-F568-(E569-E568),0))</f>
        <v/>
      </c>
    </row>
    <row r="570" customFormat="false" ht="15" hidden="false" customHeight="false" outlineLevel="0" collapsed="false">
      <c r="A570" s="13" t="str">
        <f aca="false">IF(Prices!A570="","",Prices!A570)</f>
        <v/>
      </c>
      <c r="B570" s="14" t="str">
        <f aca="false">IF(A570="","",Prices!C570)</f>
        <v/>
      </c>
      <c r="C570" s="15" t="str">
        <f aca="false">IF(A570="","",IFERROR(INDEX(FX!$B:$B,MATCH(A570,FX!$A:$A,1)),""))</f>
        <v/>
      </c>
      <c r="D570" s="14" t="str">
        <f aca="false">IF(A570="","",SUMIFS(Transactions!$D:$D,Transactions!$A:$A,"&lt;="&amp;A570,Transactions!$B:$B,Settings!$B$1))</f>
        <v/>
      </c>
      <c r="E570" s="14" t="str">
        <f aca="false">IF(A570="","",SUMIFS(Transactions!$C:$C,Transactions!$A:$A,"&lt;="&amp;A570,Transactions!$B:$B,Settings!$B$1)+SUMIFS(Transactions!$F:$F,Transactions!$A:$A,"&lt;="&amp;A570,Transactions!$B:$B,Settings!$B$1))</f>
        <v/>
      </c>
      <c r="F570" s="14" t="str">
        <f aca="false">IF(A570="","",IF(C570="","",D570*B570*C570))</f>
        <v/>
      </c>
      <c r="G570" s="14" t="str">
        <f aca="false">IF(F570="","",F570-E570)</f>
        <v/>
      </c>
      <c r="H570" s="14" t="str">
        <f aca="false">IF(F570="","",IFERROR(F570-F569-(E570-E569),0))</f>
        <v/>
      </c>
    </row>
    <row r="571" customFormat="false" ht="15" hidden="false" customHeight="false" outlineLevel="0" collapsed="false">
      <c r="A571" s="13" t="str">
        <f aca="false">IF(Prices!A571="","",Prices!A571)</f>
        <v/>
      </c>
      <c r="B571" s="14" t="str">
        <f aca="false">IF(A571="","",Prices!C571)</f>
        <v/>
      </c>
      <c r="C571" s="15" t="str">
        <f aca="false">IF(A571="","",IFERROR(INDEX(FX!$B:$B,MATCH(A571,FX!$A:$A,1)),""))</f>
        <v/>
      </c>
      <c r="D571" s="14" t="str">
        <f aca="false">IF(A571="","",SUMIFS(Transactions!$D:$D,Transactions!$A:$A,"&lt;="&amp;A571,Transactions!$B:$B,Settings!$B$1))</f>
        <v/>
      </c>
      <c r="E571" s="14" t="str">
        <f aca="false">IF(A571="","",SUMIFS(Transactions!$C:$C,Transactions!$A:$A,"&lt;="&amp;A571,Transactions!$B:$B,Settings!$B$1)+SUMIFS(Transactions!$F:$F,Transactions!$A:$A,"&lt;="&amp;A571,Transactions!$B:$B,Settings!$B$1))</f>
        <v/>
      </c>
      <c r="F571" s="14" t="str">
        <f aca="false">IF(A571="","",IF(C571="","",D571*B571*C571))</f>
        <v/>
      </c>
      <c r="G571" s="14" t="str">
        <f aca="false">IF(F571="","",F571-E571)</f>
        <v/>
      </c>
      <c r="H571" s="14" t="str">
        <f aca="false">IF(F571="","",IFERROR(F571-F570-(E571-E570),0))</f>
        <v/>
      </c>
    </row>
    <row r="572" customFormat="false" ht="15" hidden="false" customHeight="false" outlineLevel="0" collapsed="false">
      <c r="A572" s="13" t="str">
        <f aca="false">IF(Prices!A572="","",Prices!A572)</f>
        <v/>
      </c>
      <c r="B572" s="14" t="str">
        <f aca="false">IF(A572="","",Prices!C572)</f>
        <v/>
      </c>
      <c r="C572" s="15" t="str">
        <f aca="false">IF(A572="","",IFERROR(INDEX(FX!$B:$B,MATCH(A572,FX!$A:$A,1)),""))</f>
        <v/>
      </c>
      <c r="D572" s="14" t="str">
        <f aca="false">IF(A572="","",SUMIFS(Transactions!$D:$D,Transactions!$A:$A,"&lt;="&amp;A572,Transactions!$B:$B,Settings!$B$1))</f>
        <v/>
      </c>
      <c r="E572" s="14" t="str">
        <f aca="false">IF(A572="","",SUMIFS(Transactions!$C:$C,Transactions!$A:$A,"&lt;="&amp;A572,Transactions!$B:$B,Settings!$B$1)+SUMIFS(Transactions!$F:$F,Transactions!$A:$A,"&lt;="&amp;A572,Transactions!$B:$B,Settings!$B$1))</f>
        <v/>
      </c>
      <c r="F572" s="14" t="str">
        <f aca="false">IF(A572="","",IF(C572="","",D572*B572*C572))</f>
        <v/>
      </c>
      <c r="G572" s="14" t="str">
        <f aca="false">IF(F572="","",F572-E572)</f>
        <v/>
      </c>
      <c r="H572" s="14" t="str">
        <f aca="false">IF(F572="","",IFERROR(F572-F571-(E572-E571),0))</f>
        <v/>
      </c>
    </row>
    <row r="573" customFormat="false" ht="15" hidden="false" customHeight="false" outlineLevel="0" collapsed="false">
      <c r="A573" s="13" t="str">
        <f aca="false">IF(Prices!A573="","",Prices!A573)</f>
        <v/>
      </c>
      <c r="B573" s="14" t="str">
        <f aca="false">IF(A573="","",Prices!C573)</f>
        <v/>
      </c>
      <c r="C573" s="15" t="str">
        <f aca="false">IF(A573="","",IFERROR(INDEX(FX!$B:$B,MATCH(A573,FX!$A:$A,1)),""))</f>
        <v/>
      </c>
      <c r="D573" s="14" t="str">
        <f aca="false">IF(A573="","",SUMIFS(Transactions!$D:$D,Transactions!$A:$A,"&lt;="&amp;A573,Transactions!$B:$B,Settings!$B$1))</f>
        <v/>
      </c>
      <c r="E573" s="14" t="str">
        <f aca="false">IF(A573="","",SUMIFS(Transactions!$C:$C,Transactions!$A:$A,"&lt;="&amp;A573,Transactions!$B:$B,Settings!$B$1)+SUMIFS(Transactions!$F:$F,Transactions!$A:$A,"&lt;="&amp;A573,Transactions!$B:$B,Settings!$B$1))</f>
        <v/>
      </c>
      <c r="F573" s="14" t="str">
        <f aca="false">IF(A573="","",IF(C573="","",D573*B573*C573))</f>
        <v/>
      </c>
      <c r="G573" s="14" t="str">
        <f aca="false">IF(F573="","",F573-E573)</f>
        <v/>
      </c>
      <c r="H573" s="14" t="str">
        <f aca="false">IF(F573="","",IFERROR(F573-F572-(E573-E572),0))</f>
        <v/>
      </c>
    </row>
    <row r="574" customFormat="false" ht="15" hidden="false" customHeight="false" outlineLevel="0" collapsed="false">
      <c r="A574" s="13" t="str">
        <f aca="false">IF(Prices!A574="","",Prices!A574)</f>
        <v/>
      </c>
      <c r="B574" s="14" t="str">
        <f aca="false">IF(A574="","",Prices!C574)</f>
        <v/>
      </c>
      <c r="C574" s="15" t="str">
        <f aca="false">IF(A574="","",IFERROR(INDEX(FX!$B:$B,MATCH(A574,FX!$A:$A,1)),""))</f>
        <v/>
      </c>
      <c r="D574" s="14" t="str">
        <f aca="false">IF(A574="","",SUMIFS(Transactions!$D:$D,Transactions!$A:$A,"&lt;="&amp;A574,Transactions!$B:$B,Settings!$B$1))</f>
        <v/>
      </c>
      <c r="E574" s="14" t="str">
        <f aca="false">IF(A574="","",SUMIFS(Transactions!$C:$C,Transactions!$A:$A,"&lt;="&amp;A574,Transactions!$B:$B,Settings!$B$1)+SUMIFS(Transactions!$F:$F,Transactions!$A:$A,"&lt;="&amp;A574,Transactions!$B:$B,Settings!$B$1))</f>
        <v/>
      </c>
      <c r="F574" s="14" t="str">
        <f aca="false">IF(A574="","",IF(C574="","",D574*B574*C574))</f>
        <v/>
      </c>
      <c r="G574" s="14" t="str">
        <f aca="false">IF(F574="","",F574-E574)</f>
        <v/>
      </c>
      <c r="H574" s="14" t="str">
        <f aca="false">IF(F574="","",IFERROR(F574-F573-(E574-E573),0))</f>
        <v/>
      </c>
    </row>
    <row r="575" customFormat="false" ht="15" hidden="false" customHeight="false" outlineLevel="0" collapsed="false">
      <c r="A575" s="13" t="str">
        <f aca="false">IF(Prices!A575="","",Prices!A575)</f>
        <v/>
      </c>
      <c r="B575" s="14" t="str">
        <f aca="false">IF(A575="","",Prices!C575)</f>
        <v/>
      </c>
      <c r="C575" s="15" t="str">
        <f aca="false">IF(A575="","",IFERROR(INDEX(FX!$B:$B,MATCH(A575,FX!$A:$A,1)),""))</f>
        <v/>
      </c>
      <c r="D575" s="14" t="str">
        <f aca="false">IF(A575="","",SUMIFS(Transactions!$D:$D,Transactions!$A:$A,"&lt;="&amp;A575,Transactions!$B:$B,Settings!$B$1))</f>
        <v/>
      </c>
      <c r="E575" s="14" t="str">
        <f aca="false">IF(A575="","",SUMIFS(Transactions!$C:$C,Transactions!$A:$A,"&lt;="&amp;A575,Transactions!$B:$B,Settings!$B$1)+SUMIFS(Transactions!$F:$F,Transactions!$A:$A,"&lt;="&amp;A575,Transactions!$B:$B,Settings!$B$1))</f>
        <v/>
      </c>
      <c r="F575" s="14" t="str">
        <f aca="false">IF(A575="","",IF(C575="","",D575*B575*C575))</f>
        <v/>
      </c>
      <c r="G575" s="14" t="str">
        <f aca="false">IF(F575="","",F575-E575)</f>
        <v/>
      </c>
      <c r="H575" s="14" t="str">
        <f aca="false">IF(F575="","",IFERROR(F575-F574-(E575-E574),0))</f>
        <v/>
      </c>
    </row>
    <row r="576" customFormat="false" ht="15" hidden="false" customHeight="false" outlineLevel="0" collapsed="false">
      <c r="A576" s="13" t="str">
        <f aca="false">IF(Prices!A576="","",Prices!A576)</f>
        <v/>
      </c>
      <c r="B576" s="14" t="str">
        <f aca="false">IF(A576="","",Prices!C576)</f>
        <v/>
      </c>
      <c r="C576" s="15" t="str">
        <f aca="false">IF(A576="","",IFERROR(INDEX(FX!$B:$B,MATCH(A576,FX!$A:$A,1)),""))</f>
        <v/>
      </c>
      <c r="D576" s="14" t="str">
        <f aca="false">IF(A576="","",SUMIFS(Transactions!$D:$D,Transactions!$A:$A,"&lt;="&amp;A576,Transactions!$B:$B,Settings!$B$1))</f>
        <v/>
      </c>
      <c r="E576" s="14" t="str">
        <f aca="false">IF(A576="","",SUMIFS(Transactions!$C:$C,Transactions!$A:$A,"&lt;="&amp;A576,Transactions!$B:$B,Settings!$B$1)+SUMIFS(Transactions!$F:$F,Transactions!$A:$A,"&lt;="&amp;A576,Transactions!$B:$B,Settings!$B$1))</f>
        <v/>
      </c>
      <c r="F576" s="14" t="str">
        <f aca="false">IF(A576="","",IF(C576="","",D576*B576*C576))</f>
        <v/>
      </c>
      <c r="G576" s="14" t="str">
        <f aca="false">IF(F576="","",F576-E576)</f>
        <v/>
      </c>
      <c r="H576" s="14" t="str">
        <f aca="false">IF(F576="","",IFERROR(F576-F575-(E576-E575),0))</f>
        <v/>
      </c>
    </row>
    <row r="577" customFormat="false" ht="15" hidden="false" customHeight="false" outlineLevel="0" collapsed="false">
      <c r="A577" s="13" t="str">
        <f aca="false">IF(Prices!A577="","",Prices!A577)</f>
        <v/>
      </c>
      <c r="B577" s="14" t="str">
        <f aca="false">IF(A577="","",Prices!C577)</f>
        <v/>
      </c>
      <c r="C577" s="15" t="str">
        <f aca="false">IF(A577="","",IFERROR(INDEX(FX!$B:$B,MATCH(A577,FX!$A:$A,1)),""))</f>
        <v/>
      </c>
      <c r="D577" s="14" t="str">
        <f aca="false">IF(A577="","",SUMIFS(Transactions!$D:$D,Transactions!$A:$A,"&lt;="&amp;A577,Transactions!$B:$B,Settings!$B$1))</f>
        <v/>
      </c>
      <c r="E577" s="14" t="str">
        <f aca="false">IF(A577="","",SUMIFS(Transactions!$C:$C,Transactions!$A:$A,"&lt;="&amp;A577,Transactions!$B:$B,Settings!$B$1)+SUMIFS(Transactions!$F:$F,Transactions!$A:$A,"&lt;="&amp;A577,Transactions!$B:$B,Settings!$B$1))</f>
        <v/>
      </c>
      <c r="F577" s="14" t="str">
        <f aca="false">IF(A577="","",IF(C577="","",D577*B577*C577))</f>
        <v/>
      </c>
      <c r="G577" s="14" t="str">
        <f aca="false">IF(F577="","",F577-E577)</f>
        <v/>
      </c>
      <c r="H577" s="14" t="str">
        <f aca="false">IF(F577="","",IFERROR(F577-F576-(E577-E576),0))</f>
        <v/>
      </c>
    </row>
    <row r="578" customFormat="false" ht="15" hidden="false" customHeight="false" outlineLevel="0" collapsed="false">
      <c r="A578" s="13" t="str">
        <f aca="false">IF(Prices!A578="","",Prices!A578)</f>
        <v/>
      </c>
      <c r="B578" s="14" t="str">
        <f aca="false">IF(A578="","",Prices!C578)</f>
        <v/>
      </c>
      <c r="C578" s="15" t="str">
        <f aca="false">IF(A578="","",IFERROR(INDEX(FX!$B:$B,MATCH(A578,FX!$A:$A,1)),""))</f>
        <v/>
      </c>
      <c r="D578" s="14" t="str">
        <f aca="false">IF(A578="","",SUMIFS(Transactions!$D:$D,Transactions!$A:$A,"&lt;="&amp;A578,Transactions!$B:$B,Settings!$B$1))</f>
        <v/>
      </c>
      <c r="E578" s="14" t="str">
        <f aca="false">IF(A578="","",SUMIFS(Transactions!$C:$C,Transactions!$A:$A,"&lt;="&amp;A578,Transactions!$B:$B,Settings!$B$1)+SUMIFS(Transactions!$F:$F,Transactions!$A:$A,"&lt;="&amp;A578,Transactions!$B:$B,Settings!$B$1))</f>
        <v/>
      </c>
      <c r="F578" s="14" t="str">
        <f aca="false">IF(A578="","",IF(C578="","",D578*B578*C578))</f>
        <v/>
      </c>
      <c r="G578" s="14" t="str">
        <f aca="false">IF(F578="","",F578-E578)</f>
        <v/>
      </c>
      <c r="H578" s="14" t="str">
        <f aca="false">IF(F578="","",IFERROR(F578-F577-(E578-E577),0))</f>
        <v/>
      </c>
    </row>
    <row r="579" customFormat="false" ht="15" hidden="false" customHeight="false" outlineLevel="0" collapsed="false">
      <c r="A579" s="13" t="str">
        <f aca="false">IF(Prices!A579="","",Prices!A579)</f>
        <v/>
      </c>
      <c r="B579" s="14" t="str">
        <f aca="false">IF(A579="","",Prices!C579)</f>
        <v/>
      </c>
      <c r="C579" s="15" t="str">
        <f aca="false">IF(A579="","",IFERROR(INDEX(FX!$B:$B,MATCH(A579,FX!$A:$A,1)),""))</f>
        <v/>
      </c>
      <c r="D579" s="14" t="str">
        <f aca="false">IF(A579="","",SUMIFS(Transactions!$D:$D,Transactions!$A:$A,"&lt;="&amp;A579,Transactions!$B:$B,Settings!$B$1))</f>
        <v/>
      </c>
      <c r="E579" s="14" t="str">
        <f aca="false">IF(A579="","",SUMIFS(Transactions!$C:$C,Transactions!$A:$A,"&lt;="&amp;A579,Transactions!$B:$B,Settings!$B$1)+SUMIFS(Transactions!$F:$F,Transactions!$A:$A,"&lt;="&amp;A579,Transactions!$B:$B,Settings!$B$1))</f>
        <v/>
      </c>
      <c r="F579" s="14" t="str">
        <f aca="false">IF(A579="","",IF(C579="","",D579*B579*C579))</f>
        <v/>
      </c>
      <c r="G579" s="14" t="str">
        <f aca="false">IF(F579="","",F579-E579)</f>
        <v/>
      </c>
      <c r="H579" s="14" t="str">
        <f aca="false">IF(F579="","",IFERROR(F579-F578-(E579-E578),0))</f>
        <v/>
      </c>
    </row>
    <row r="580" customFormat="false" ht="15" hidden="false" customHeight="false" outlineLevel="0" collapsed="false">
      <c r="A580" s="13" t="str">
        <f aca="false">IF(Prices!A580="","",Prices!A580)</f>
        <v/>
      </c>
      <c r="B580" s="14" t="str">
        <f aca="false">IF(A580="","",Prices!C580)</f>
        <v/>
      </c>
      <c r="C580" s="15" t="str">
        <f aca="false">IF(A580="","",IFERROR(INDEX(FX!$B:$B,MATCH(A580,FX!$A:$A,1)),""))</f>
        <v/>
      </c>
      <c r="D580" s="14" t="str">
        <f aca="false">IF(A580="","",SUMIFS(Transactions!$D:$D,Transactions!$A:$A,"&lt;="&amp;A580,Transactions!$B:$B,Settings!$B$1))</f>
        <v/>
      </c>
      <c r="E580" s="14" t="str">
        <f aca="false">IF(A580="","",SUMIFS(Transactions!$C:$C,Transactions!$A:$A,"&lt;="&amp;A580,Transactions!$B:$B,Settings!$B$1)+SUMIFS(Transactions!$F:$F,Transactions!$A:$A,"&lt;="&amp;A580,Transactions!$B:$B,Settings!$B$1))</f>
        <v/>
      </c>
      <c r="F580" s="14" t="str">
        <f aca="false">IF(A580="","",IF(C580="","",D580*B580*C580))</f>
        <v/>
      </c>
      <c r="G580" s="14" t="str">
        <f aca="false">IF(F580="","",F580-E580)</f>
        <v/>
      </c>
      <c r="H580" s="14" t="str">
        <f aca="false">IF(F580="","",IFERROR(F580-F579-(E580-E579),0))</f>
        <v/>
      </c>
    </row>
    <row r="581" customFormat="false" ht="15" hidden="false" customHeight="false" outlineLevel="0" collapsed="false">
      <c r="A581" s="13" t="str">
        <f aca="false">IF(Prices!A581="","",Prices!A581)</f>
        <v/>
      </c>
      <c r="B581" s="14" t="str">
        <f aca="false">IF(A581="","",Prices!C581)</f>
        <v/>
      </c>
      <c r="C581" s="15" t="str">
        <f aca="false">IF(A581="","",IFERROR(INDEX(FX!$B:$B,MATCH(A581,FX!$A:$A,1)),""))</f>
        <v/>
      </c>
      <c r="D581" s="14" t="str">
        <f aca="false">IF(A581="","",SUMIFS(Transactions!$D:$D,Transactions!$A:$A,"&lt;="&amp;A581,Transactions!$B:$B,Settings!$B$1))</f>
        <v/>
      </c>
      <c r="E581" s="14" t="str">
        <f aca="false">IF(A581="","",SUMIFS(Transactions!$C:$C,Transactions!$A:$A,"&lt;="&amp;A581,Transactions!$B:$B,Settings!$B$1)+SUMIFS(Transactions!$F:$F,Transactions!$A:$A,"&lt;="&amp;A581,Transactions!$B:$B,Settings!$B$1))</f>
        <v/>
      </c>
      <c r="F581" s="14" t="str">
        <f aca="false">IF(A581="","",IF(C581="","",D581*B581*C581))</f>
        <v/>
      </c>
      <c r="G581" s="14" t="str">
        <f aca="false">IF(F581="","",F581-E581)</f>
        <v/>
      </c>
      <c r="H581" s="14" t="str">
        <f aca="false">IF(F581="","",IFERROR(F581-F580-(E581-E580),0))</f>
        <v/>
      </c>
    </row>
    <row r="582" customFormat="false" ht="15" hidden="false" customHeight="false" outlineLevel="0" collapsed="false">
      <c r="A582" s="13" t="str">
        <f aca="false">IF(Prices!A582="","",Prices!A582)</f>
        <v/>
      </c>
      <c r="B582" s="14" t="str">
        <f aca="false">IF(A582="","",Prices!C582)</f>
        <v/>
      </c>
      <c r="C582" s="15" t="str">
        <f aca="false">IF(A582="","",IFERROR(INDEX(FX!$B:$B,MATCH(A582,FX!$A:$A,1)),""))</f>
        <v/>
      </c>
      <c r="D582" s="14" t="str">
        <f aca="false">IF(A582="","",SUMIFS(Transactions!$D:$D,Transactions!$A:$A,"&lt;="&amp;A582,Transactions!$B:$B,Settings!$B$1))</f>
        <v/>
      </c>
      <c r="E582" s="14" t="str">
        <f aca="false">IF(A582="","",SUMIFS(Transactions!$C:$C,Transactions!$A:$A,"&lt;="&amp;A582,Transactions!$B:$B,Settings!$B$1)+SUMIFS(Transactions!$F:$F,Transactions!$A:$A,"&lt;="&amp;A582,Transactions!$B:$B,Settings!$B$1))</f>
        <v/>
      </c>
      <c r="F582" s="14" t="str">
        <f aca="false">IF(A582="","",IF(C582="","",D582*B582*C582))</f>
        <v/>
      </c>
      <c r="G582" s="14" t="str">
        <f aca="false">IF(F582="","",F582-E582)</f>
        <v/>
      </c>
      <c r="H582" s="14" t="str">
        <f aca="false">IF(F582="","",IFERROR(F582-F581-(E582-E581),0))</f>
        <v/>
      </c>
    </row>
    <row r="583" customFormat="false" ht="15" hidden="false" customHeight="false" outlineLevel="0" collapsed="false">
      <c r="A583" s="13" t="str">
        <f aca="false">IF(Prices!A583="","",Prices!A583)</f>
        <v/>
      </c>
      <c r="B583" s="14" t="str">
        <f aca="false">IF(A583="","",Prices!C583)</f>
        <v/>
      </c>
      <c r="C583" s="15" t="str">
        <f aca="false">IF(A583="","",IFERROR(INDEX(FX!$B:$B,MATCH(A583,FX!$A:$A,1)),""))</f>
        <v/>
      </c>
      <c r="D583" s="14" t="str">
        <f aca="false">IF(A583="","",SUMIFS(Transactions!$D:$D,Transactions!$A:$A,"&lt;="&amp;A583,Transactions!$B:$B,Settings!$B$1))</f>
        <v/>
      </c>
      <c r="E583" s="14" t="str">
        <f aca="false">IF(A583="","",SUMIFS(Transactions!$C:$C,Transactions!$A:$A,"&lt;="&amp;A583,Transactions!$B:$B,Settings!$B$1)+SUMIFS(Transactions!$F:$F,Transactions!$A:$A,"&lt;="&amp;A583,Transactions!$B:$B,Settings!$B$1))</f>
        <v/>
      </c>
      <c r="F583" s="14" t="str">
        <f aca="false">IF(A583="","",IF(C583="","",D583*B583*C583))</f>
        <v/>
      </c>
      <c r="G583" s="14" t="str">
        <f aca="false">IF(F583="","",F583-E583)</f>
        <v/>
      </c>
      <c r="H583" s="14" t="str">
        <f aca="false">IF(F583="","",IFERROR(F583-F582-(E583-E582),0))</f>
        <v/>
      </c>
    </row>
    <row r="584" customFormat="false" ht="15" hidden="false" customHeight="false" outlineLevel="0" collapsed="false">
      <c r="A584" s="13" t="str">
        <f aca="false">IF(Prices!A584="","",Prices!A584)</f>
        <v/>
      </c>
      <c r="B584" s="14" t="str">
        <f aca="false">IF(A584="","",Prices!C584)</f>
        <v/>
      </c>
      <c r="C584" s="15" t="str">
        <f aca="false">IF(A584="","",IFERROR(INDEX(FX!$B:$B,MATCH(A584,FX!$A:$A,1)),""))</f>
        <v/>
      </c>
      <c r="D584" s="14" t="str">
        <f aca="false">IF(A584="","",SUMIFS(Transactions!$D:$D,Transactions!$A:$A,"&lt;="&amp;A584,Transactions!$B:$B,Settings!$B$1))</f>
        <v/>
      </c>
      <c r="E584" s="14" t="str">
        <f aca="false">IF(A584="","",SUMIFS(Transactions!$C:$C,Transactions!$A:$A,"&lt;="&amp;A584,Transactions!$B:$B,Settings!$B$1)+SUMIFS(Transactions!$F:$F,Transactions!$A:$A,"&lt;="&amp;A584,Transactions!$B:$B,Settings!$B$1))</f>
        <v/>
      </c>
      <c r="F584" s="14" t="str">
        <f aca="false">IF(A584="","",IF(C584="","",D584*B584*C584))</f>
        <v/>
      </c>
      <c r="G584" s="14" t="str">
        <f aca="false">IF(F584="","",F584-E584)</f>
        <v/>
      </c>
      <c r="H584" s="14" t="str">
        <f aca="false">IF(F584="","",IFERROR(F584-F583-(E584-E583),0))</f>
        <v/>
      </c>
    </row>
    <row r="585" customFormat="false" ht="15" hidden="false" customHeight="false" outlineLevel="0" collapsed="false">
      <c r="A585" s="13" t="str">
        <f aca="false">IF(Prices!A585="","",Prices!A585)</f>
        <v/>
      </c>
      <c r="B585" s="14" t="str">
        <f aca="false">IF(A585="","",Prices!C585)</f>
        <v/>
      </c>
      <c r="C585" s="15" t="str">
        <f aca="false">IF(A585="","",IFERROR(INDEX(FX!$B:$B,MATCH(A585,FX!$A:$A,1)),""))</f>
        <v/>
      </c>
      <c r="D585" s="14" t="str">
        <f aca="false">IF(A585="","",SUMIFS(Transactions!$D:$D,Transactions!$A:$A,"&lt;="&amp;A585,Transactions!$B:$B,Settings!$B$1))</f>
        <v/>
      </c>
      <c r="E585" s="14" t="str">
        <f aca="false">IF(A585="","",SUMIFS(Transactions!$C:$C,Transactions!$A:$A,"&lt;="&amp;A585,Transactions!$B:$B,Settings!$B$1)+SUMIFS(Transactions!$F:$F,Transactions!$A:$A,"&lt;="&amp;A585,Transactions!$B:$B,Settings!$B$1))</f>
        <v/>
      </c>
      <c r="F585" s="14" t="str">
        <f aca="false">IF(A585="","",IF(C585="","",D585*B585*C585))</f>
        <v/>
      </c>
      <c r="G585" s="14" t="str">
        <f aca="false">IF(F585="","",F585-E585)</f>
        <v/>
      </c>
      <c r="H585" s="14" t="str">
        <f aca="false">IF(F585="","",IFERROR(F585-F584-(E585-E584),0))</f>
        <v/>
      </c>
    </row>
    <row r="586" customFormat="false" ht="15" hidden="false" customHeight="false" outlineLevel="0" collapsed="false">
      <c r="A586" s="13" t="str">
        <f aca="false">IF(Prices!A586="","",Prices!A586)</f>
        <v/>
      </c>
      <c r="B586" s="14" t="str">
        <f aca="false">IF(A586="","",Prices!C586)</f>
        <v/>
      </c>
      <c r="C586" s="15" t="str">
        <f aca="false">IF(A586="","",IFERROR(INDEX(FX!$B:$B,MATCH(A586,FX!$A:$A,1)),""))</f>
        <v/>
      </c>
      <c r="D586" s="14" t="str">
        <f aca="false">IF(A586="","",SUMIFS(Transactions!$D:$D,Transactions!$A:$A,"&lt;="&amp;A586,Transactions!$B:$B,Settings!$B$1))</f>
        <v/>
      </c>
      <c r="E586" s="14" t="str">
        <f aca="false">IF(A586="","",SUMIFS(Transactions!$C:$C,Transactions!$A:$A,"&lt;="&amp;A586,Transactions!$B:$B,Settings!$B$1)+SUMIFS(Transactions!$F:$F,Transactions!$A:$A,"&lt;="&amp;A586,Transactions!$B:$B,Settings!$B$1))</f>
        <v/>
      </c>
      <c r="F586" s="14" t="str">
        <f aca="false">IF(A586="","",IF(C586="","",D586*B586*C586))</f>
        <v/>
      </c>
      <c r="G586" s="14" t="str">
        <f aca="false">IF(F586="","",F586-E586)</f>
        <v/>
      </c>
      <c r="H586" s="14" t="str">
        <f aca="false">IF(F586="","",IFERROR(F586-F585-(E586-E585),0))</f>
        <v/>
      </c>
    </row>
    <row r="587" customFormat="false" ht="15" hidden="false" customHeight="false" outlineLevel="0" collapsed="false">
      <c r="A587" s="13" t="str">
        <f aca="false">IF(Prices!A587="","",Prices!A587)</f>
        <v/>
      </c>
      <c r="B587" s="14" t="str">
        <f aca="false">IF(A587="","",Prices!C587)</f>
        <v/>
      </c>
      <c r="C587" s="15" t="str">
        <f aca="false">IF(A587="","",IFERROR(INDEX(FX!$B:$B,MATCH(A587,FX!$A:$A,1)),""))</f>
        <v/>
      </c>
      <c r="D587" s="14" t="str">
        <f aca="false">IF(A587="","",SUMIFS(Transactions!$D:$D,Transactions!$A:$A,"&lt;="&amp;A587,Transactions!$B:$B,Settings!$B$1))</f>
        <v/>
      </c>
      <c r="E587" s="14" t="str">
        <f aca="false">IF(A587="","",SUMIFS(Transactions!$C:$C,Transactions!$A:$A,"&lt;="&amp;A587,Transactions!$B:$B,Settings!$B$1)+SUMIFS(Transactions!$F:$F,Transactions!$A:$A,"&lt;="&amp;A587,Transactions!$B:$B,Settings!$B$1))</f>
        <v/>
      </c>
      <c r="F587" s="14" t="str">
        <f aca="false">IF(A587="","",IF(C587="","",D587*B587*C587))</f>
        <v/>
      </c>
      <c r="G587" s="14" t="str">
        <f aca="false">IF(F587="","",F587-E587)</f>
        <v/>
      </c>
      <c r="H587" s="14" t="str">
        <f aca="false">IF(F587="","",IFERROR(F587-F586-(E587-E586),0))</f>
        <v/>
      </c>
    </row>
    <row r="588" customFormat="false" ht="15" hidden="false" customHeight="false" outlineLevel="0" collapsed="false">
      <c r="A588" s="13" t="str">
        <f aca="false">IF(Prices!A588="","",Prices!A588)</f>
        <v/>
      </c>
      <c r="B588" s="14" t="str">
        <f aca="false">IF(A588="","",Prices!C588)</f>
        <v/>
      </c>
      <c r="C588" s="15" t="str">
        <f aca="false">IF(A588="","",IFERROR(INDEX(FX!$B:$B,MATCH(A588,FX!$A:$A,1)),""))</f>
        <v/>
      </c>
      <c r="D588" s="14" t="str">
        <f aca="false">IF(A588="","",SUMIFS(Transactions!$D:$D,Transactions!$A:$A,"&lt;="&amp;A588,Transactions!$B:$B,Settings!$B$1))</f>
        <v/>
      </c>
      <c r="E588" s="14" t="str">
        <f aca="false">IF(A588="","",SUMIFS(Transactions!$C:$C,Transactions!$A:$A,"&lt;="&amp;A588,Transactions!$B:$B,Settings!$B$1)+SUMIFS(Transactions!$F:$F,Transactions!$A:$A,"&lt;="&amp;A588,Transactions!$B:$B,Settings!$B$1))</f>
        <v/>
      </c>
      <c r="F588" s="14" t="str">
        <f aca="false">IF(A588="","",IF(C588="","",D588*B588*C588))</f>
        <v/>
      </c>
      <c r="G588" s="14" t="str">
        <f aca="false">IF(F588="","",F588-E588)</f>
        <v/>
      </c>
      <c r="H588" s="14" t="str">
        <f aca="false">IF(F588="","",IFERROR(F588-F587-(E588-E587),0))</f>
        <v/>
      </c>
    </row>
    <row r="589" customFormat="false" ht="15" hidden="false" customHeight="false" outlineLevel="0" collapsed="false">
      <c r="A589" s="13" t="str">
        <f aca="false">IF(Prices!A589="","",Prices!A589)</f>
        <v/>
      </c>
      <c r="B589" s="14" t="str">
        <f aca="false">IF(A589="","",Prices!C589)</f>
        <v/>
      </c>
      <c r="C589" s="15" t="str">
        <f aca="false">IF(A589="","",IFERROR(INDEX(FX!$B:$B,MATCH(A589,FX!$A:$A,1)),""))</f>
        <v/>
      </c>
      <c r="D589" s="14" t="str">
        <f aca="false">IF(A589="","",SUMIFS(Transactions!$D:$D,Transactions!$A:$A,"&lt;="&amp;A589,Transactions!$B:$B,Settings!$B$1))</f>
        <v/>
      </c>
      <c r="E589" s="14" t="str">
        <f aca="false">IF(A589="","",SUMIFS(Transactions!$C:$C,Transactions!$A:$A,"&lt;="&amp;A589,Transactions!$B:$B,Settings!$B$1)+SUMIFS(Transactions!$F:$F,Transactions!$A:$A,"&lt;="&amp;A589,Transactions!$B:$B,Settings!$B$1))</f>
        <v/>
      </c>
      <c r="F589" s="14" t="str">
        <f aca="false">IF(A589="","",IF(C589="","",D589*B589*C589))</f>
        <v/>
      </c>
      <c r="G589" s="14" t="str">
        <f aca="false">IF(F589="","",F589-E589)</f>
        <v/>
      </c>
      <c r="H589" s="14" t="str">
        <f aca="false">IF(F589="","",IFERROR(F589-F588-(E589-E588),0))</f>
        <v/>
      </c>
    </row>
    <row r="590" customFormat="false" ht="15" hidden="false" customHeight="false" outlineLevel="0" collapsed="false">
      <c r="A590" s="13" t="str">
        <f aca="false">IF(Prices!A590="","",Prices!A590)</f>
        <v/>
      </c>
      <c r="B590" s="14" t="str">
        <f aca="false">IF(A590="","",Prices!C590)</f>
        <v/>
      </c>
      <c r="C590" s="15" t="str">
        <f aca="false">IF(A590="","",IFERROR(INDEX(FX!$B:$B,MATCH(A590,FX!$A:$A,1)),""))</f>
        <v/>
      </c>
      <c r="D590" s="14" t="str">
        <f aca="false">IF(A590="","",SUMIFS(Transactions!$D:$D,Transactions!$A:$A,"&lt;="&amp;A590,Transactions!$B:$B,Settings!$B$1))</f>
        <v/>
      </c>
      <c r="E590" s="14" t="str">
        <f aca="false">IF(A590="","",SUMIFS(Transactions!$C:$C,Transactions!$A:$A,"&lt;="&amp;A590,Transactions!$B:$B,Settings!$B$1)+SUMIFS(Transactions!$F:$F,Transactions!$A:$A,"&lt;="&amp;A590,Transactions!$B:$B,Settings!$B$1))</f>
        <v/>
      </c>
      <c r="F590" s="14" t="str">
        <f aca="false">IF(A590="","",IF(C590="","",D590*B590*C590))</f>
        <v/>
      </c>
      <c r="G590" s="14" t="str">
        <f aca="false">IF(F590="","",F590-E590)</f>
        <v/>
      </c>
      <c r="H590" s="14" t="str">
        <f aca="false">IF(F590="","",IFERROR(F590-F589-(E590-E589),0))</f>
        <v/>
      </c>
    </row>
    <row r="591" customFormat="false" ht="15" hidden="false" customHeight="false" outlineLevel="0" collapsed="false">
      <c r="A591" s="13" t="str">
        <f aca="false">IF(Prices!A591="","",Prices!A591)</f>
        <v/>
      </c>
      <c r="B591" s="14" t="str">
        <f aca="false">IF(A591="","",Prices!C591)</f>
        <v/>
      </c>
      <c r="C591" s="15" t="str">
        <f aca="false">IF(A591="","",IFERROR(INDEX(FX!$B:$B,MATCH(A591,FX!$A:$A,1)),""))</f>
        <v/>
      </c>
      <c r="D591" s="14" t="str">
        <f aca="false">IF(A591="","",SUMIFS(Transactions!$D:$D,Transactions!$A:$A,"&lt;="&amp;A591,Transactions!$B:$B,Settings!$B$1))</f>
        <v/>
      </c>
      <c r="E591" s="14" t="str">
        <f aca="false">IF(A591="","",SUMIFS(Transactions!$C:$C,Transactions!$A:$A,"&lt;="&amp;A591,Transactions!$B:$B,Settings!$B$1)+SUMIFS(Transactions!$F:$F,Transactions!$A:$A,"&lt;="&amp;A591,Transactions!$B:$B,Settings!$B$1))</f>
        <v/>
      </c>
      <c r="F591" s="14" t="str">
        <f aca="false">IF(A591="","",IF(C591="","",D591*B591*C591))</f>
        <v/>
      </c>
      <c r="G591" s="14" t="str">
        <f aca="false">IF(F591="","",F591-E591)</f>
        <v/>
      </c>
      <c r="H591" s="14" t="str">
        <f aca="false">IF(F591="","",IFERROR(F591-F590-(E591-E590),0))</f>
        <v/>
      </c>
    </row>
    <row r="592" customFormat="false" ht="15" hidden="false" customHeight="false" outlineLevel="0" collapsed="false">
      <c r="A592" s="13" t="str">
        <f aca="false">IF(Prices!A592="","",Prices!A592)</f>
        <v/>
      </c>
      <c r="B592" s="14" t="str">
        <f aca="false">IF(A592="","",Prices!C592)</f>
        <v/>
      </c>
      <c r="C592" s="15" t="str">
        <f aca="false">IF(A592="","",IFERROR(INDEX(FX!$B:$B,MATCH(A592,FX!$A:$A,1)),""))</f>
        <v/>
      </c>
      <c r="D592" s="14" t="str">
        <f aca="false">IF(A592="","",SUMIFS(Transactions!$D:$D,Transactions!$A:$A,"&lt;="&amp;A592,Transactions!$B:$B,Settings!$B$1))</f>
        <v/>
      </c>
      <c r="E592" s="14" t="str">
        <f aca="false">IF(A592="","",SUMIFS(Transactions!$C:$C,Transactions!$A:$A,"&lt;="&amp;A592,Transactions!$B:$B,Settings!$B$1)+SUMIFS(Transactions!$F:$F,Transactions!$A:$A,"&lt;="&amp;A592,Transactions!$B:$B,Settings!$B$1))</f>
        <v/>
      </c>
      <c r="F592" s="14" t="str">
        <f aca="false">IF(A592="","",IF(C592="","",D592*B592*C592))</f>
        <v/>
      </c>
      <c r="G592" s="14" t="str">
        <f aca="false">IF(F592="","",F592-E592)</f>
        <v/>
      </c>
      <c r="H592" s="14" t="str">
        <f aca="false">IF(F592="","",IFERROR(F592-F591-(E592-E591),0))</f>
        <v/>
      </c>
    </row>
    <row r="593" customFormat="false" ht="15" hidden="false" customHeight="false" outlineLevel="0" collapsed="false">
      <c r="A593" s="13" t="str">
        <f aca="false">IF(Prices!A593="","",Prices!A593)</f>
        <v/>
      </c>
      <c r="B593" s="14" t="str">
        <f aca="false">IF(A593="","",Prices!C593)</f>
        <v/>
      </c>
      <c r="C593" s="15" t="str">
        <f aca="false">IF(A593="","",IFERROR(INDEX(FX!$B:$B,MATCH(A593,FX!$A:$A,1)),""))</f>
        <v/>
      </c>
      <c r="D593" s="14" t="str">
        <f aca="false">IF(A593="","",SUMIFS(Transactions!$D:$D,Transactions!$A:$A,"&lt;="&amp;A593,Transactions!$B:$B,Settings!$B$1))</f>
        <v/>
      </c>
      <c r="E593" s="14" t="str">
        <f aca="false">IF(A593="","",SUMIFS(Transactions!$C:$C,Transactions!$A:$A,"&lt;="&amp;A593,Transactions!$B:$B,Settings!$B$1)+SUMIFS(Transactions!$F:$F,Transactions!$A:$A,"&lt;="&amp;A593,Transactions!$B:$B,Settings!$B$1))</f>
        <v/>
      </c>
      <c r="F593" s="14" t="str">
        <f aca="false">IF(A593="","",IF(C593="","",D593*B593*C593))</f>
        <v/>
      </c>
      <c r="G593" s="14" t="str">
        <f aca="false">IF(F593="","",F593-E593)</f>
        <v/>
      </c>
      <c r="H593" s="14" t="str">
        <f aca="false">IF(F593="","",IFERROR(F593-F592-(E593-E592),0))</f>
        <v/>
      </c>
    </row>
    <row r="594" customFormat="false" ht="15" hidden="false" customHeight="false" outlineLevel="0" collapsed="false">
      <c r="A594" s="13" t="str">
        <f aca="false">IF(Prices!A594="","",Prices!A594)</f>
        <v/>
      </c>
      <c r="B594" s="14" t="str">
        <f aca="false">IF(A594="","",Prices!C594)</f>
        <v/>
      </c>
      <c r="C594" s="15" t="str">
        <f aca="false">IF(A594="","",IFERROR(INDEX(FX!$B:$B,MATCH(A594,FX!$A:$A,1)),""))</f>
        <v/>
      </c>
      <c r="D594" s="14" t="str">
        <f aca="false">IF(A594="","",SUMIFS(Transactions!$D:$D,Transactions!$A:$A,"&lt;="&amp;A594,Transactions!$B:$B,Settings!$B$1))</f>
        <v/>
      </c>
      <c r="E594" s="14" t="str">
        <f aca="false">IF(A594="","",SUMIFS(Transactions!$C:$C,Transactions!$A:$A,"&lt;="&amp;A594,Transactions!$B:$B,Settings!$B$1)+SUMIFS(Transactions!$F:$F,Transactions!$A:$A,"&lt;="&amp;A594,Transactions!$B:$B,Settings!$B$1))</f>
        <v/>
      </c>
      <c r="F594" s="14" t="str">
        <f aca="false">IF(A594="","",IF(C594="","",D594*B594*C594))</f>
        <v/>
      </c>
      <c r="G594" s="14" t="str">
        <f aca="false">IF(F594="","",F594-E594)</f>
        <v/>
      </c>
      <c r="H594" s="14" t="str">
        <f aca="false">IF(F594="","",IFERROR(F594-F593-(E594-E593),0))</f>
        <v/>
      </c>
    </row>
    <row r="595" customFormat="false" ht="15" hidden="false" customHeight="false" outlineLevel="0" collapsed="false">
      <c r="A595" s="13" t="str">
        <f aca="false">IF(Prices!A595="","",Prices!A595)</f>
        <v/>
      </c>
      <c r="B595" s="14" t="str">
        <f aca="false">IF(A595="","",Prices!C595)</f>
        <v/>
      </c>
      <c r="C595" s="15" t="str">
        <f aca="false">IF(A595="","",IFERROR(INDEX(FX!$B:$B,MATCH(A595,FX!$A:$A,1)),""))</f>
        <v/>
      </c>
      <c r="D595" s="14" t="str">
        <f aca="false">IF(A595="","",SUMIFS(Transactions!$D:$D,Transactions!$A:$A,"&lt;="&amp;A595,Transactions!$B:$B,Settings!$B$1))</f>
        <v/>
      </c>
      <c r="E595" s="14" t="str">
        <f aca="false">IF(A595="","",SUMIFS(Transactions!$C:$C,Transactions!$A:$A,"&lt;="&amp;A595,Transactions!$B:$B,Settings!$B$1)+SUMIFS(Transactions!$F:$F,Transactions!$A:$A,"&lt;="&amp;A595,Transactions!$B:$B,Settings!$B$1))</f>
        <v/>
      </c>
      <c r="F595" s="14" t="str">
        <f aca="false">IF(A595="","",IF(C595="","",D595*B595*C595))</f>
        <v/>
      </c>
      <c r="G595" s="14" t="str">
        <f aca="false">IF(F595="","",F595-E595)</f>
        <v/>
      </c>
      <c r="H595" s="14" t="str">
        <f aca="false">IF(F595="","",IFERROR(F595-F594-(E595-E594),0))</f>
        <v/>
      </c>
    </row>
    <row r="596" customFormat="false" ht="15" hidden="false" customHeight="false" outlineLevel="0" collapsed="false">
      <c r="A596" s="13" t="str">
        <f aca="false">IF(Prices!A596="","",Prices!A596)</f>
        <v/>
      </c>
      <c r="B596" s="14" t="str">
        <f aca="false">IF(A596="","",Prices!C596)</f>
        <v/>
      </c>
      <c r="C596" s="15" t="str">
        <f aca="false">IF(A596="","",IFERROR(INDEX(FX!$B:$B,MATCH(A596,FX!$A:$A,1)),""))</f>
        <v/>
      </c>
      <c r="D596" s="14" t="str">
        <f aca="false">IF(A596="","",SUMIFS(Transactions!$D:$D,Transactions!$A:$A,"&lt;="&amp;A596,Transactions!$B:$B,Settings!$B$1))</f>
        <v/>
      </c>
      <c r="E596" s="14" t="str">
        <f aca="false">IF(A596="","",SUMIFS(Transactions!$C:$C,Transactions!$A:$A,"&lt;="&amp;A596,Transactions!$B:$B,Settings!$B$1)+SUMIFS(Transactions!$F:$F,Transactions!$A:$A,"&lt;="&amp;A596,Transactions!$B:$B,Settings!$B$1))</f>
        <v/>
      </c>
      <c r="F596" s="14" t="str">
        <f aca="false">IF(A596="","",IF(C596="","",D596*B596*C596))</f>
        <v/>
      </c>
      <c r="G596" s="14" t="str">
        <f aca="false">IF(F596="","",F596-E596)</f>
        <v/>
      </c>
      <c r="H596" s="14" t="str">
        <f aca="false">IF(F596="","",IFERROR(F596-F595-(E596-E595),0))</f>
        <v/>
      </c>
    </row>
    <row r="597" customFormat="false" ht="15" hidden="false" customHeight="false" outlineLevel="0" collapsed="false">
      <c r="A597" s="13" t="str">
        <f aca="false">IF(Prices!A597="","",Prices!A597)</f>
        <v/>
      </c>
      <c r="B597" s="14" t="str">
        <f aca="false">IF(A597="","",Prices!C597)</f>
        <v/>
      </c>
      <c r="C597" s="15" t="str">
        <f aca="false">IF(A597="","",IFERROR(INDEX(FX!$B:$B,MATCH(A597,FX!$A:$A,1)),""))</f>
        <v/>
      </c>
      <c r="D597" s="14" t="str">
        <f aca="false">IF(A597="","",SUMIFS(Transactions!$D:$D,Transactions!$A:$A,"&lt;="&amp;A597,Transactions!$B:$B,Settings!$B$1))</f>
        <v/>
      </c>
      <c r="E597" s="14" t="str">
        <f aca="false">IF(A597="","",SUMIFS(Transactions!$C:$C,Transactions!$A:$A,"&lt;="&amp;A597,Transactions!$B:$B,Settings!$B$1)+SUMIFS(Transactions!$F:$F,Transactions!$A:$A,"&lt;="&amp;A597,Transactions!$B:$B,Settings!$B$1))</f>
        <v/>
      </c>
      <c r="F597" s="14" t="str">
        <f aca="false">IF(A597="","",IF(C597="","",D597*B597*C597))</f>
        <v/>
      </c>
      <c r="G597" s="14" t="str">
        <f aca="false">IF(F597="","",F597-E597)</f>
        <v/>
      </c>
      <c r="H597" s="14" t="str">
        <f aca="false">IF(F597="","",IFERROR(F597-F596-(E597-E596),0))</f>
        <v/>
      </c>
    </row>
    <row r="598" customFormat="false" ht="15" hidden="false" customHeight="false" outlineLevel="0" collapsed="false">
      <c r="A598" s="13" t="str">
        <f aca="false">IF(Prices!A598="","",Prices!A598)</f>
        <v/>
      </c>
      <c r="B598" s="14" t="str">
        <f aca="false">IF(A598="","",Prices!C598)</f>
        <v/>
      </c>
      <c r="C598" s="15" t="str">
        <f aca="false">IF(A598="","",IFERROR(INDEX(FX!$B:$B,MATCH(A598,FX!$A:$A,1)),""))</f>
        <v/>
      </c>
      <c r="D598" s="14" t="str">
        <f aca="false">IF(A598="","",SUMIFS(Transactions!$D:$D,Transactions!$A:$A,"&lt;="&amp;A598,Transactions!$B:$B,Settings!$B$1))</f>
        <v/>
      </c>
      <c r="E598" s="14" t="str">
        <f aca="false">IF(A598="","",SUMIFS(Transactions!$C:$C,Transactions!$A:$A,"&lt;="&amp;A598,Transactions!$B:$B,Settings!$B$1)+SUMIFS(Transactions!$F:$F,Transactions!$A:$A,"&lt;="&amp;A598,Transactions!$B:$B,Settings!$B$1))</f>
        <v/>
      </c>
      <c r="F598" s="14" t="str">
        <f aca="false">IF(A598="","",IF(C598="","",D598*B598*C598))</f>
        <v/>
      </c>
      <c r="G598" s="14" t="str">
        <f aca="false">IF(F598="","",F598-E598)</f>
        <v/>
      </c>
      <c r="H598" s="14" t="str">
        <f aca="false">IF(F598="","",IFERROR(F598-F597-(E598-E597),0))</f>
        <v/>
      </c>
    </row>
    <row r="599" customFormat="false" ht="15" hidden="false" customHeight="false" outlineLevel="0" collapsed="false">
      <c r="A599" s="13" t="str">
        <f aca="false">IF(Prices!A599="","",Prices!A599)</f>
        <v/>
      </c>
      <c r="B599" s="14" t="str">
        <f aca="false">IF(A599="","",Prices!C599)</f>
        <v/>
      </c>
      <c r="C599" s="15" t="str">
        <f aca="false">IF(A599="","",IFERROR(INDEX(FX!$B:$B,MATCH(A599,FX!$A:$A,1)),""))</f>
        <v/>
      </c>
      <c r="D599" s="14" t="str">
        <f aca="false">IF(A599="","",SUMIFS(Transactions!$D:$D,Transactions!$A:$A,"&lt;="&amp;A599,Transactions!$B:$B,Settings!$B$1))</f>
        <v/>
      </c>
      <c r="E599" s="14" t="str">
        <f aca="false">IF(A599="","",SUMIFS(Transactions!$C:$C,Transactions!$A:$A,"&lt;="&amp;A599,Transactions!$B:$B,Settings!$B$1)+SUMIFS(Transactions!$F:$F,Transactions!$A:$A,"&lt;="&amp;A599,Transactions!$B:$B,Settings!$B$1))</f>
        <v/>
      </c>
      <c r="F599" s="14" t="str">
        <f aca="false">IF(A599="","",IF(C599="","",D599*B599*C599))</f>
        <v/>
      </c>
      <c r="G599" s="14" t="str">
        <f aca="false">IF(F599="","",F599-E599)</f>
        <v/>
      </c>
      <c r="H599" s="14" t="str">
        <f aca="false">IF(F599="","",IFERROR(F599-F598-(E599-E598),0))</f>
        <v/>
      </c>
    </row>
    <row r="600" customFormat="false" ht="15" hidden="false" customHeight="false" outlineLevel="0" collapsed="false">
      <c r="A600" s="13" t="str">
        <f aca="false">IF(Prices!A600="","",Prices!A600)</f>
        <v/>
      </c>
      <c r="B600" s="14" t="str">
        <f aca="false">IF(A600="","",Prices!C600)</f>
        <v/>
      </c>
      <c r="C600" s="15" t="str">
        <f aca="false">IF(A600="","",IFERROR(INDEX(FX!$B:$B,MATCH(A600,FX!$A:$A,1)),""))</f>
        <v/>
      </c>
      <c r="D600" s="14" t="str">
        <f aca="false">IF(A600="","",SUMIFS(Transactions!$D:$D,Transactions!$A:$A,"&lt;="&amp;A600,Transactions!$B:$B,Settings!$B$1))</f>
        <v/>
      </c>
      <c r="E600" s="14" t="str">
        <f aca="false">IF(A600="","",SUMIFS(Transactions!$C:$C,Transactions!$A:$A,"&lt;="&amp;A600,Transactions!$B:$B,Settings!$B$1)+SUMIFS(Transactions!$F:$F,Transactions!$A:$A,"&lt;="&amp;A600,Transactions!$B:$B,Settings!$B$1))</f>
        <v/>
      </c>
      <c r="F600" s="14" t="str">
        <f aca="false">IF(A600="","",IF(C600="","",D600*B600*C600))</f>
        <v/>
      </c>
      <c r="G600" s="14" t="str">
        <f aca="false">IF(F600="","",F600-E600)</f>
        <v/>
      </c>
      <c r="H600" s="14" t="str">
        <f aca="false">IF(F600="","",IFERROR(F600-F599-(E600-E599),0))</f>
        <v/>
      </c>
    </row>
    <row r="601" customFormat="false" ht="15" hidden="false" customHeight="false" outlineLevel="0" collapsed="false">
      <c r="A601" s="13" t="str">
        <f aca="false">IF(Prices!A601="","",Prices!A601)</f>
        <v/>
      </c>
      <c r="B601" s="14" t="str">
        <f aca="false">IF(A601="","",Prices!C601)</f>
        <v/>
      </c>
      <c r="C601" s="15" t="str">
        <f aca="false">IF(A601="","",IFERROR(INDEX(FX!$B:$B,MATCH(A601,FX!$A:$A,1)),""))</f>
        <v/>
      </c>
      <c r="D601" s="14" t="str">
        <f aca="false">IF(A601="","",SUMIFS(Transactions!$D:$D,Transactions!$A:$A,"&lt;="&amp;A601,Transactions!$B:$B,Settings!$B$1))</f>
        <v/>
      </c>
      <c r="E601" s="14" t="str">
        <f aca="false">IF(A601="","",SUMIFS(Transactions!$C:$C,Transactions!$A:$A,"&lt;="&amp;A601,Transactions!$B:$B,Settings!$B$1)+SUMIFS(Transactions!$F:$F,Transactions!$A:$A,"&lt;="&amp;A601,Transactions!$B:$B,Settings!$B$1))</f>
        <v/>
      </c>
      <c r="F601" s="14" t="str">
        <f aca="false">IF(A601="","",IF(C601="","",D601*B601*C601))</f>
        <v/>
      </c>
      <c r="G601" s="14" t="str">
        <f aca="false">IF(F601="","",F601-E601)</f>
        <v/>
      </c>
      <c r="H601" s="14" t="str">
        <f aca="false">IF(F601="","",IFERROR(F601-F600-(E601-E600),0))</f>
        <v/>
      </c>
    </row>
    <row r="602" customFormat="false" ht="15" hidden="false" customHeight="false" outlineLevel="0" collapsed="false">
      <c r="A602" s="13" t="str">
        <f aca="false">IF(Prices!A602="","",Prices!A602)</f>
        <v/>
      </c>
      <c r="B602" s="14" t="str">
        <f aca="false">IF(A602="","",Prices!C602)</f>
        <v/>
      </c>
      <c r="C602" s="15" t="str">
        <f aca="false">IF(A602="","",IFERROR(INDEX(FX!$B:$B,MATCH(A602,FX!$A:$A,1)),""))</f>
        <v/>
      </c>
      <c r="D602" s="14" t="str">
        <f aca="false">IF(A602="","",SUMIFS(Transactions!$D:$D,Transactions!$A:$A,"&lt;="&amp;A602,Transactions!$B:$B,Settings!$B$1))</f>
        <v/>
      </c>
      <c r="E602" s="14" t="str">
        <f aca="false">IF(A602="","",SUMIFS(Transactions!$C:$C,Transactions!$A:$A,"&lt;="&amp;A602,Transactions!$B:$B,Settings!$B$1)+SUMIFS(Transactions!$F:$F,Transactions!$A:$A,"&lt;="&amp;A602,Transactions!$B:$B,Settings!$B$1))</f>
        <v/>
      </c>
      <c r="F602" s="14" t="str">
        <f aca="false">IF(A602="","",IF(C602="","",D602*B602*C602))</f>
        <v/>
      </c>
      <c r="G602" s="14" t="str">
        <f aca="false">IF(F602="","",F602-E602)</f>
        <v/>
      </c>
      <c r="H602" s="14" t="str">
        <f aca="false">IF(F602="","",IFERROR(F602-F601-(E602-E601),0))</f>
        <v/>
      </c>
    </row>
    <row r="603" customFormat="false" ht="15" hidden="false" customHeight="false" outlineLevel="0" collapsed="false">
      <c r="A603" s="13" t="str">
        <f aca="false">IF(Prices!A603="","",Prices!A603)</f>
        <v/>
      </c>
      <c r="B603" s="14" t="str">
        <f aca="false">IF(A603="","",Prices!C603)</f>
        <v/>
      </c>
      <c r="C603" s="15" t="str">
        <f aca="false">IF(A603="","",IFERROR(INDEX(FX!$B:$B,MATCH(A603,FX!$A:$A,1)),""))</f>
        <v/>
      </c>
      <c r="D603" s="14" t="str">
        <f aca="false">IF(A603="","",SUMIFS(Transactions!$D:$D,Transactions!$A:$A,"&lt;="&amp;A603,Transactions!$B:$B,Settings!$B$1))</f>
        <v/>
      </c>
      <c r="E603" s="14" t="str">
        <f aca="false">IF(A603="","",SUMIFS(Transactions!$C:$C,Transactions!$A:$A,"&lt;="&amp;A603,Transactions!$B:$B,Settings!$B$1)+SUMIFS(Transactions!$F:$F,Transactions!$A:$A,"&lt;="&amp;A603,Transactions!$B:$B,Settings!$B$1))</f>
        <v/>
      </c>
      <c r="F603" s="14" t="str">
        <f aca="false">IF(A603="","",IF(C603="","",D603*B603*C603))</f>
        <v/>
      </c>
      <c r="G603" s="14" t="str">
        <f aca="false">IF(F603="","",F603-E603)</f>
        <v/>
      </c>
      <c r="H603" s="14" t="str">
        <f aca="false">IF(F603="","",IFERROR(F603-F602-(E603-E602),0))</f>
        <v/>
      </c>
    </row>
    <row r="604" customFormat="false" ht="15" hidden="false" customHeight="false" outlineLevel="0" collapsed="false">
      <c r="A604" s="13" t="str">
        <f aca="false">IF(Prices!A604="","",Prices!A604)</f>
        <v/>
      </c>
      <c r="B604" s="14" t="str">
        <f aca="false">IF(A604="","",Prices!C604)</f>
        <v/>
      </c>
      <c r="C604" s="15" t="str">
        <f aca="false">IF(A604="","",IFERROR(INDEX(FX!$B:$B,MATCH(A604,FX!$A:$A,1)),""))</f>
        <v/>
      </c>
      <c r="D604" s="14" t="str">
        <f aca="false">IF(A604="","",SUMIFS(Transactions!$D:$D,Transactions!$A:$A,"&lt;="&amp;A604,Transactions!$B:$B,Settings!$B$1))</f>
        <v/>
      </c>
      <c r="E604" s="14" t="str">
        <f aca="false">IF(A604="","",SUMIFS(Transactions!$C:$C,Transactions!$A:$A,"&lt;="&amp;A604,Transactions!$B:$B,Settings!$B$1)+SUMIFS(Transactions!$F:$F,Transactions!$A:$A,"&lt;="&amp;A604,Transactions!$B:$B,Settings!$B$1))</f>
        <v/>
      </c>
      <c r="F604" s="14" t="str">
        <f aca="false">IF(A604="","",IF(C604="","",D604*B604*C604))</f>
        <v/>
      </c>
      <c r="G604" s="14" t="str">
        <f aca="false">IF(F604="","",F604-E604)</f>
        <v/>
      </c>
      <c r="H604" s="14" t="str">
        <f aca="false">IF(F604="","",IFERROR(F604-F603-(E604-E603),0))</f>
        <v/>
      </c>
    </row>
    <row r="605" customFormat="false" ht="15" hidden="false" customHeight="false" outlineLevel="0" collapsed="false">
      <c r="A605" s="13" t="str">
        <f aca="false">IF(Prices!A605="","",Prices!A605)</f>
        <v/>
      </c>
      <c r="B605" s="14" t="str">
        <f aca="false">IF(A605="","",Prices!C605)</f>
        <v/>
      </c>
      <c r="C605" s="15" t="str">
        <f aca="false">IF(A605="","",IFERROR(INDEX(FX!$B:$B,MATCH(A605,FX!$A:$A,1)),""))</f>
        <v/>
      </c>
      <c r="D605" s="14" t="str">
        <f aca="false">IF(A605="","",SUMIFS(Transactions!$D:$D,Transactions!$A:$A,"&lt;="&amp;A605,Transactions!$B:$B,Settings!$B$1))</f>
        <v/>
      </c>
      <c r="E605" s="14" t="str">
        <f aca="false">IF(A605="","",SUMIFS(Transactions!$C:$C,Transactions!$A:$A,"&lt;="&amp;A605,Transactions!$B:$B,Settings!$B$1)+SUMIFS(Transactions!$F:$F,Transactions!$A:$A,"&lt;="&amp;A605,Transactions!$B:$B,Settings!$B$1))</f>
        <v/>
      </c>
      <c r="F605" s="14" t="str">
        <f aca="false">IF(A605="","",IF(C605="","",D605*B605*C605))</f>
        <v/>
      </c>
      <c r="G605" s="14" t="str">
        <f aca="false">IF(F605="","",F605-E605)</f>
        <v/>
      </c>
      <c r="H605" s="14" t="str">
        <f aca="false">IF(F605="","",IFERROR(F605-F604-(E605-E604),0))</f>
        <v/>
      </c>
    </row>
    <row r="606" customFormat="false" ht="15" hidden="false" customHeight="false" outlineLevel="0" collapsed="false">
      <c r="A606" s="13" t="str">
        <f aca="false">IF(Prices!A606="","",Prices!A606)</f>
        <v/>
      </c>
      <c r="B606" s="14" t="str">
        <f aca="false">IF(A606="","",Prices!C606)</f>
        <v/>
      </c>
      <c r="C606" s="15" t="str">
        <f aca="false">IF(A606="","",IFERROR(INDEX(FX!$B:$B,MATCH(A606,FX!$A:$A,1)),""))</f>
        <v/>
      </c>
      <c r="D606" s="14" t="str">
        <f aca="false">IF(A606="","",SUMIFS(Transactions!$D:$D,Transactions!$A:$A,"&lt;="&amp;A606,Transactions!$B:$B,Settings!$B$1))</f>
        <v/>
      </c>
      <c r="E606" s="14" t="str">
        <f aca="false">IF(A606="","",SUMIFS(Transactions!$C:$C,Transactions!$A:$A,"&lt;="&amp;A606,Transactions!$B:$B,Settings!$B$1)+SUMIFS(Transactions!$F:$F,Transactions!$A:$A,"&lt;="&amp;A606,Transactions!$B:$B,Settings!$B$1))</f>
        <v/>
      </c>
      <c r="F606" s="14" t="str">
        <f aca="false">IF(A606="","",IF(C606="","",D606*B606*C606))</f>
        <v/>
      </c>
      <c r="G606" s="14" t="str">
        <f aca="false">IF(F606="","",F606-E606)</f>
        <v/>
      </c>
      <c r="H606" s="14" t="str">
        <f aca="false">IF(F606="","",IFERROR(F606-F605-(E606-E605),0))</f>
        <v/>
      </c>
    </row>
    <row r="607" customFormat="false" ht="15" hidden="false" customHeight="false" outlineLevel="0" collapsed="false">
      <c r="A607" s="13" t="str">
        <f aca="false">IF(Prices!A607="","",Prices!A607)</f>
        <v/>
      </c>
      <c r="B607" s="14" t="str">
        <f aca="false">IF(A607="","",Prices!C607)</f>
        <v/>
      </c>
      <c r="C607" s="15" t="str">
        <f aca="false">IF(A607="","",IFERROR(INDEX(FX!$B:$B,MATCH(A607,FX!$A:$A,1)),""))</f>
        <v/>
      </c>
      <c r="D607" s="14" t="str">
        <f aca="false">IF(A607="","",SUMIFS(Transactions!$D:$D,Transactions!$A:$A,"&lt;="&amp;A607,Transactions!$B:$B,Settings!$B$1))</f>
        <v/>
      </c>
      <c r="E607" s="14" t="str">
        <f aca="false">IF(A607="","",SUMIFS(Transactions!$C:$C,Transactions!$A:$A,"&lt;="&amp;A607,Transactions!$B:$B,Settings!$B$1)+SUMIFS(Transactions!$F:$F,Transactions!$A:$A,"&lt;="&amp;A607,Transactions!$B:$B,Settings!$B$1))</f>
        <v/>
      </c>
      <c r="F607" s="14" t="str">
        <f aca="false">IF(A607="","",IF(C607="","",D607*B607*C607))</f>
        <v/>
      </c>
      <c r="G607" s="14" t="str">
        <f aca="false">IF(F607="","",F607-E607)</f>
        <v/>
      </c>
      <c r="H607" s="14" t="str">
        <f aca="false">IF(F607="","",IFERROR(F607-F606-(E607-E606),0))</f>
        <v/>
      </c>
    </row>
    <row r="608" customFormat="false" ht="15" hidden="false" customHeight="false" outlineLevel="0" collapsed="false">
      <c r="A608" s="13" t="str">
        <f aca="false">IF(Prices!A608="","",Prices!A608)</f>
        <v/>
      </c>
      <c r="B608" s="14" t="str">
        <f aca="false">IF(A608="","",Prices!C608)</f>
        <v/>
      </c>
      <c r="C608" s="15" t="str">
        <f aca="false">IF(A608="","",IFERROR(INDEX(FX!$B:$B,MATCH(A608,FX!$A:$A,1)),""))</f>
        <v/>
      </c>
      <c r="D608" s="14" t="str">
        <f aca="false">IF(A608="","",SUMIFS(Transactions!$D:$D,Transactions!$A:$A,"&lt;="&amp;A608,Transactions!$B:$B,Settings!$B$1))</f>
        <v/>
      </c>
      <c r="E608" s="14" t="str">
        <f aca="false">IF(A608="","",SUMIFS(Transactions!$C:$C,Transactions!$A:$A,"&lt;="&amp;A608,Transactions!$B:$B,Settings!$B$1)+SUMIFS(Transactions!$F:$F,Transactions!$A:$A,"&lt;="&amp;A608,Transactions!$B:$B,Settings!$B$1))</f>
        <v/>
      </c>
      <c r="F608" s="14" t="str">
        <f aca="false">IF(A608="","",IF(C608="","",D608*B608*C608))</f>
        <v/>
      </c>
      <c r="G608" s="14" t="str">
        <f aca="false">IF(F608="","",F608-E608)</f>
        <v/>
      </c>
      <c r="H608" s="14" t="str">
        <f aca="false">IF(F608="","",IFERROR(F608-F607-(E608-E607),0))</f>
        <v/>
      </c>
    </row>
    <row r="609" customFormat="false" ht="15" hidden="false" customHeight="false" outlineLevel="0" collapsed="false">
      <c r="A609" s="13" t="str">
        <f aca="false">IF(Prices!A609="","",Prices!A609)</f>
        <v/>
      </c>
      <c r="B609" s="14" t="str">
        <f aca="false">IF(A609="","",Prices!C609)</f>
        <v/>
      </c>
      <c r="C609" s="15" t="str">
        <f aca="false">IF(A609="","",IFERROR(INDEX(FX!$B:$B,MATCH(A609,FX!$A:$A,1)),""))</f>
        <v/>
      </c>
      <c r="D609" s="14" t="str">
        <f aca="false">IF(A609="","",SUMIFS(Transactions!$D:$D,Transactions!$A:$A,"&lt;="&amp;A609,Transactions!$B:$B,Settings!$B$1))</f>
        <v/>
      </c>
      <c r="E609" s="14" t="str">
        <f aca="false">IF(A609="","",SUMIFS(Transactions!$C:$C,Transactions!$A:$A,"&lt;="&amp;A609,Transactions!$B:$B,Settings!$B$1)+SUMIFS(Transactions!$F:$F,Transactions!$A:$A,"&lt;="&amp;A609,Transactions!$B:$B,Settings!$B$1))</f>
        <v/>
      </c>
      <c r="F609" s="14" t="str">
        <f aca="false">IF(A609="","",IF(C609="","",D609*B609*C609))</f>
        <v/>
      </c>
      <c r="G609" s="14" t="str">
        <f aca="false">IF(F609="","",F609-E609)</f>
        <v/>
      </c>
      <c r="H609" s="14" t="str">
        <f aca="false">IF(F609="","",IFERROR(F609-F608-(E609-E608),0))</f>
        <v/>
      </c>
    </row>
    <row r="610" customFormat="false" ht="15" hidden="false" customHeight="false" outlineLevel="0" collapsed="false">
      <c r="A610" s="13" t="str">
        <f aca="false">IF(Prices!A610="","",Prices!A610)</f>
        <v/>
      </c>
      <c r="B610" s="14" t="str">
        <f aca="false">IF(A610="","",Prices!C610)</f>
        <v/>
      </c>
      <c r="C610" s="15" t="str">
        <f aca="false">IF(A610="","",IFERROR(INDEX(FX!$B:$B,MATCH(A610,FX!$A:$A,1)),""))</f>
        <v/>
      </c>
      <c r="D610" s="14" t="str">
        <f aca="false">IF(A610="","",SUMIFS(Transactions!$D:$D,Transactions!$A:$A,"&lt;="&amp;A610,Transactions!$B:$B,Settings!$B$1))</f>
        <v/>
      </c>
      <c r="E610" s="14" t="str">
        <f aca="false">IF(A610="","",SUMIFS(Transactions!$C:$C,Transactions!$A:$A,"&lt;="&amp;A610,Transactions!$B:$B,Settings!$B$1)+SUMIFS(Transactions!$F:$F,Transactions!$A:$A,"&lt;="&amp;A610,Transactions!$B:$B,Settings!$B$1))</f>
        <v/>
      </c>
      <c r="F610" s="14" t="str">
        <f aca="false">IF(A610="","",IF(C610="","",D610*B610*C610))</f>
        <v/>
      </c>
      <c r="G610" s="14" t="str">
        <f aca="false">IF(F610="","",F610-E610)</f>
        <v/>
      </c>
      <c r="H610" s="14" t="str">
        <f aca="false">IF(F610="","",IFERROR(F610-F609-(E610-E609),0))</f>
        <v/>
      </c>
    </row>
    <row r="611" customFormat="false" ht="15" hidden="false" customHeight="false" outlineLevel="0" collapsed="false">
      <c r="A611" s="13" t="str">
        <f aca="false">IF(Prices!A611="","",Prices!A611)</f>
        <v/>
      </c>
      <c r="B611" s="14" t="str">
        <f aca="false">IF(A611="","",Prices!C611)</f>
        <v/>
      </c>
      <c r="C611" s="15" t="str">
        <f aca="false">IF(A611="","",IFERROR(INDEX(FX!$B:$B,MATCH(A611,FX!$A:$A,1)),""))</f>
        <v/>
      </c>
      <c r="D611" s="14" t="str">
        <f aca="false">IF(A611="","",SUMIFS(Transactions!$D:$D,Transactions!$A:$A,"&lt;="&amp;A611,Transactions!$B:$B,Settings!$B$1))</f>
        <v/>
      </c>
      <c r="E611" s="14" t="str">
        <f aca="false">IF(A611="","",SUMIFS(Transactions!$C:$C,Transactions!$A:$A,"&lt;="&amp;A611,Transactions!$B:$B,Settings!$B$1)+SUMIFS(Transactions!$F:$F,Transactions!$A:$A,"&lt;="&amp;A611,Transactions!$B:$B,Settings!$B$1))</f>
        <v/>
      </c>
      <c r="F611" s="14" t="str">
        <f aca="false">IF(A611="","",IF(C611="","",D611*B611*C611))</f>
        <v/>
      </c>
      <c r="G611" s="14" t="str">
        <f aca="false">IF(F611="","",F611-E611)</f>
        <v/>
      </c>
      <c r="H611" s="14" t="str">
        <f aca="false">IF(F611="","",IFERROR(F611-F610-(E611-E610),0))</f>
        <v/>
      </c>
    </row>
    <row r="612" customFormat="false" ht="15" hidden="false" customHeight="false" outlineLevel="0" collapsed="false">
      <c r="A612" s="13" t="str">
        <f aca="false">IF(Prices!A612="","",Prices!A612)</f>
        <v/>
      </c>
      <c r="B612" s="14" t="str">
        <f aca="false">IF(A612="","",Prices!C612)</f>
        <v/>
      </c>
      <c r="C612" s="15" t="str">
        <f aca="false">IF(A612="","",IFERROR(INDEX(FX!$B:$B,MATCH(A612,FX!$A:$A,1)),""))</f>
        <v/>
      </c>
      <c r="D612" s="14" t="str">
        <f aca="false">IF(A612="","",SUMIFS(Transactions!$D:$D,Transactions!$A:$A,"&lt;="&amp;A612,Transactions!$B:$B,Settings!$B$1))</f>
        <v/>
      </c>
      <c r="E612" s="14" t="str">
        <f aca="false">IF(A612="","",SUMIFS(Transactions!$C:$C,Transactions!$A:$A,"&lt;="&amp;A612,Transactions!$B:$B,Settings!$B$1)+SUMIFS(Transactions!$F:$F,Transactions!$A:$A,"&lt;="&amp;A612,Transactions!$B:$B,Settings!$B$1))</f>
        <v/>
      </c>
      <c r="F612" s="14" t="str">
        <f aca="false">IF(A612="","",IF(C612="","",D612*B612*C612))</f>
        <v/>
      </c>
      <c r="G612" s="14" t="str">
        <f aca="false">IF(F612="","",F612-E612)</f>
        <v/>
      </c>
      <c r="H612" s="14" t="str">
        <f aca="false">IF(F612="","",IFERROR(F612-F611-(E612-E611),0))</f>
        <v/>
      </c>
    </row>
    <row r="613" customFormat="false" ht="15" hidden="false" customHeight="false" outlineLevel="0" collapsed="false">
      <c r="A613" s="13" t="str">
        <f aca="false">IF(Prices!A613="","",Prices!A613)</f>
        <v/>
      </c>
      <c r="B613" s="14" t="str">
        <f aca="false">IF(A613="","",Prices!C613)</f>
        <v/>
      </c>
      <c r="C613" s="15" t="str">
        <f aca="false">IF(A613="","",IFERROR(INDEX(FX!$B:$B,MATCH(A613,FX!$A:$A,1)),""))</f>
        <v/>
      </c>
      <c r="D613" s="14" t="str">
        <f aca="false">IF(A613="","",SUMIFS(Transactions!$D:$D,Transactions!$A:$A,"&lt;="&amp;A613,Transactions!$B:$B,Settings!$B$1))</f>
        <v/>
      </c>
      <c r="E613" s="14" t="str">
        <f aca="false">IF(A613="","",SUMIFS(Transactions!$C:$C,Transactions!$A:$A,"&lt;="&amp;A613,Transactions!$B:$B,Settings!$B$1)+SUMIFS(Transactions!$F:$F,Transactions!$A:$A,"&lt;="&amp;A613,Transactions!$B:$B,Settings!$B$1))</f>
        <v/>
      </c>
      <c r="F613" s="14" t="str">
        <f aca="false">IF(A613="","",IF(C613="","",D613*B613*C613))</f>
        <v/>
      </c>
      <c r="G613" s="14" t="str">
        <f aca="false">IF(F613="","",F613-E613)</f>
        <v/>
      </c>
      <c r="H613" s="14" t="str">
        <f aca="false">IF(F613="","",IFERROR(F613-F612-(E613-E612),0))</f>
        <v/>
      </c>
    </row>
    <row r="614" customFormat="false" ht="15" hidden="false" customHeight="false" outlineLevel="0" collapsed="false">
      <c r="A614" s="13" t="str">
        <f aca="false">IF(Prices!A614="","",Prices!A614)</f>
        <v/>
      </c>
      <c r="B614" s="14" t="str">
        <f aca="false">IF(A614="","",Prices!C614)</f>
        <v/>
      </c>
      <c r="C614" s="15" t="str">
        <f aca="false">IF(A614="","",IFERROR(INDEX(FX!$B:$B,MATCH(A614,FX!$A:$A,1)),""))</f>
        <v/>
      </c>
      <c r="D614" s="14" t="str">
        <f aca="false">IF(A614="","",SUMIFS(Transactions!$D:$D,Transactions!$A:$A,"&lt;="&amp;A614,Transactions!$B:$B,Settings!$B$1))</f>
        <v/>
      </c>
      <c r="E614" s="14" t="str">
        <f aca="false">IF(A614="","",SUMIFS(Transactions!$C:$C,Transactions!$A:$A,"&lt;="&amp;A614,Transactions!$B:$B,Settings!$B$1)+SUMIFS(Transactions!$F:$F,Transactions!$A:$A,"&lt;="&amp;A614,Transactions!$B:$B,Settings!$B$1))</f>
        <v/>
      </c>
      <c r="F614" s="14" t="str">
        <f aca="false">IF(A614="","",IF(C614="","",D614*B614*C614))</f>
        <v/>
      </c>
      <c r="G614" s="14" t="str">
        <f aca="false">IF(F614="","",F614-E614)</f>
        <v/>
      </c>
      <c r="H614" s="14" t="str">
        <f aca="false">IF(F614="","",IFERROR(F614-F613-(E614-E613),0))</f>
        <v/>
      </c>
    </row>
    <row r="615" customFormat="false" ht="15" hidden="false" customHeight="false" outlineLevel="0" collapsed="false">
      <c r="A615" s="13" t="str">
        <f aca="false">IF(Prices!A615="","",Prices!A615)</f>
        <v/>
      </c>
      <c r="B615" s="14" t="str">
        <f aca="false">IF(A615="","",Prices!C615)</f>
        <v/>
      </c>
      <c r="C615" s="15" t="str">
        <f aca="false">IF(A615="","",IFERROR(INDEX(FX!$B:$B,MATCH(A615,FX!$A:$A,1)),""))</f>
        <v/>
      </c>
      <c r="D615" s="14" t="str">
        <f aca="false">IF(A615="","",SUMIFS(Transactions!$D:$D,Transactions!$A:$A,"&lt;="&amp;A615,Transactions!$B:$B,Settings!$B$1))</f>
        <v/>
      </c>
      <c r="E615" s="14" t="str">
        <f aca="false">IF(A615="","",SUMIFS(Transactions!$C:$C,Transactions!$A:$A,"&lt;="&amp;A615,Transactions!$B:$B,Settings!$B$1)+SUMIFS(Transactions!$F:$F,Transactions!$A:$A,"&lt;="&amp;A615,Transactions!$B:$B,Settings!$B$1))</f>
        <v/>
      </c>
      <c r="F615" s="14" t="str">
        <f aca="false">IF(A615="","",IF(C615="","",D615*B615*C615))</f>
        <v/>
      </c>
      <c r="G615" s="14" t="str">
        <f aca="false">IF(F615="","",F615-E615)</f>
        <v/>
      </c>
      <c r="H615" s="14" t="str">
        <f aca="false">IF(F615="","",IFERROR(F615-F614-(E615-E614),0))</f>
        <v/>
      </c>
    </row>
    <row r="616" customFormat="false" ht="15" hidden="false" customHeight="false" outlineLevel="0" collapsed="false">
      <c r="A616" s="13" t="str">
        <f aca="false">IF(Prices!A616="","",Prices!A616)</f>
        <v/>
      </c>
      <c r="B616" s="14" t="str">
        <f aca="false">IF(A616="","",Prices!C616)</f>
        <v/>
      </c>
      <c r="C616" s="15" t="str">
        <f aca="false">IF(A616="","",IFERROR(INDEX(FX!$B:$B,MATCH(A616,FX!$A:$A,1)),""))</f>
        <v/>
      </c>
      <c r="D616" s="14" t="str">
        <f aca="false">IF(A616="","",SUMIFS(Transactions!$D:$D,Transactions!$A:$A,"&lt;="&amp;A616,Transactions!$B:$B,Settings!$B$1))</f>
        <v/>
      </c>
      <c r="E616" s="14" t="str">
        <f aca="false">IF(A616="","",SUMIFS(Transactions!$C:$C,Transactions!$A:$A,"&lt;="&amp;A616,Transactions!$B:$B,Settings!$B$1)+SUMIFS(Transactions!$F:$F,Transactions!$A:$A,"&lt;="&amp;A616,Transactions!$B:$B,Settings!$B$1))</f>
        <v/>
      </c>
      <c r="F616" s="14" t="str">
        <f aca="false">IF(A616="","",IF(C616="","",D616*B616*C616))</f>
        <v/>
      </c>
      <c r="G616" s="14" t="str">
        <f aca="false">IF(F616="","",F616-E616)</f>
        <v/>
      </c>
      <c r="H616" s="14" t="str">
        <f aca="false">IF(F616="","",IFERROR(F616-F615-(E616-E615),0))</f>
        <v/>
      </c>
    </row>
    <row r="617" customFormat="false" ht="15" hidden="false" customHeight="false" outlineLevel="0" collapsed="false">
      <c r="A617" s="13" t="str">
        <f aca="false">IF(Prices!A617="","",Prices!A617)</f>
        <v/>
      </c>
      <c r="B617" s="14" t="str">
        <f aca="false">IF(A617="","",Prices!C617)</f>
        <v/>
      </c>
      <c r="C617" s="15" t="str">
        <f aca="false">IF(A617="","",IFERROR(INDEX(FX!$B:$B,MATCH(A617,FX!$A:$A,1)),""))</f>
        <v/>
      </c>
      <c r="D617" s="14" t="str">
        <f aca="false">IF(A617="","",SUMIFS(Transactions!$D:$D,Transactions!$A:$A,"&lt;="&amp;A617,Transactions!$B:$B,Settings!$B$1))</f>
        <v/>
      </c>
      <c r="E617" s="14" t="str">
        <f aca="false">IF(A617="","",SUMIFS(Transactions!$C:$C,Transactions!$A:$A,"&lt;="&amp;A617,Transactions!$B:$B,Settings!$B$1)+SUMIFS(Transactions!$F:$F,Transactions!$A:$A,"&lt;="&amp;A617,Transactions!$B:$B,Settings!$B$1))</f>
        <v/>
      </c>
      <c r="F617" s="14" t="str">
        <f aca="false">IF(A617="","",IF(C617="","",D617*B617*C617))</f>
        <v/>
      </c>
      <c r="G617" s="14" t="str">
        <f aca="false">IF(F617="","",F617-E617)</f>
        <v/>
      </c>
      <c r="H617" s="14" t="str">
        <f aca="false">IF(F617="","",IFERROR(F617-F616-(E617-E616),0))</f>
        <v/>
      </c>
    </row>
    <row r="618" customFormat="false" ht="15" hidden="false" customHeight="false" outlineLevel="0" collapsed="false">
      <c r="A618" s="13" t="str">
        <f aca="false">IF(Prices!A618="","",Prices!A618)</f>
        <v/>
      </c>
      <c r="B618" s="14" t="str">
        <f aca="false">IF(A618="","",Prices!C618)</f>
        <v/>
      </c>
      <c r="C618" s="15" t="str">
        <f aca="false">IF(A618="","",IFERROR(INDEX(FX!$B:$B,MATCH(A618,FX!$A:$A,1)),""))</f>
        <v/>
      </c>
      <c r="D618" s="14" t="str">
        <f aca="false">IF(A618="","",SUMIFS(Transactions!$D:$D,Transactions!$A:$A,"&lt;="&amp;A618,Transactions!$B:$B,Settings!$B$1))</f>
        <v/>
      </c>
      <c r="E618" s="14" t="str">
        <f aca="false">IF(A618="","",SUMIFS(Transactions!$C:$C,Transactions!$A:$A,"&lt;="&amp;A618,Transactions!$B:$B,Settings!$B$1)+SUMIFS(Transactions!$F:$F,Transactions!$A:$A,"&lt;="&amp;A618,Transactions!$B:$B,Settings!$B$1))</f>
        <v/>
      </c>
      <c r="F618" s="14" t="str">
        <f aca="false">IF(A618="","",IF(C618="","",D618*B618*C618))</f>
        <v/>
      </c>
      <c r="G618" s="14" t="str">
        <f aca="false">IF(F618="","",F618-E618)</f>
        <v/>
      </c>
      <c r="H618" s="14" t="str">
        <f aca="false">IF(F618="","",IFERROR(F618-F617-(E618-E617),0))</f>
        <v/>
      </c>
    </row>
    <row r="619" customFormat="false" ht="15" hidden="false" customHeight="false" outlineLevel="0" collapsed="false">
      <c r="A619" s="13" t="str">
        <f aca="false">IF(Prices!A619="","",Prices!A619)</f>
        <v/>
      </c>
      <c r="B619" s="14" t="str">
        <f aca="false">IF(A619="","",Prices!C619)</f>
        <v/>
      </c>
      <c r="C619" s="15" t="str">
        <f aca="false">IF(A619="","",IFERROR(INDEX(FX!$B:$B,MATCH(A619,FX!$A:$A,1)),""))</f>
        <v/>
      </c>
      <c r="D619" s="14" t="str">
        <f aca="false">IF(A619="","",SUMIFS(Transactions!$D:$D,Transactions!$A:$A,"&lt;="&amp;A619,Transactions!$B:$B,Settings!$B$1))</f>
        <v/>
      </c>
      <c r="E619" s="14" t="str">
        <f aca="false">IF(A619="","",SUMIFS(Transactions!$C:$C,Transactions!$A:$A,"&lt;="&amp;A619,Transactions!$B:$B,Settings!$B$1)+SUMIFS(Transactions!$F:$F,Transactions!$A:$A,"&lt;="&amp;A619,Transactions!$B:$B,Settings!$B$1))</f>
        <v/>
      </c>
      <c r="F619" s="14" t="str">
        <f aca="false">IF(A619="","",IF(C619="","",D619*B619*C619))</f>
        <v/>
      </c>
      <c r="G619" s="14" t="str">
        <f aca="false">IF(F619="","",F619-E619)</f>
        <v/>
      </c>
      <c r="H619" s="14" t="str">
        <f aca="false">IF(F619="","",IFERROR(F619-F618-(E619-E618),0))</f>
        <v/>
      </c>
    </row>
    <row r="620" customFormat="false" ht="15" hidden="false" customHeight="false" outlineLevel="0" collapsed="false">
      <c r="A620" s="13" t="str">
        <f aca="false">IF(Prices!A620="","",Prices!A620)</f>
        <v/>
      </c>
      <c r="B620" s="14" t="str">
        <f aca="false">IF(A620="","",Prices!C620)</f>
        <v/>
      </c>
      <c r="C620" s="15" t="str">
        <f aca="false">IF(A620="","",IFERROR(INDEX(FX!$B:$B,MATCH(A620,FX!$A:$A,1)),""))</f>
        <v/>
      </c>
      <c r="D620" s="14" t="str">
        <f aca="false">IF(A620="","",SUMIFS(Transactions!$D:$D,Transactions!$A:$A,"&lt;="&amp;A620,Transactions!$B:$B,Settings!$B$1))</f>
        <v/>
      </c>
      <c r="E620" s="14" t="str">
        <f aca="false">IF(A620="","",SUMIFS(Transactions!$C:$C,Transactions!$A:$A,"&lt;="&amp;A620,Transactions!$B:$B,Settings!$B$1)+SUMIFS(Transactions!$F:$F,Transactions!$A:$A,"&lt;="&amp;A620,Transactions!$B:$B,Settings!$B$1))</f>
        <v/>
      </c>
      <c r="F620" s="14" t="str">
        <f aca="false">IF(A620="","",IF(C620="","",D620*B620*C620))</f>
        <v/>
      </c>
      <c r="G620" s="14" t="str">
        <f aca="false">IF(F620="","",F620-E620)</f>
        <v/>
      </c>
      <c r="H620" s="14" t="str">
        <f aca="false">IF(F620="","",IFERROR(F620-F619-(E620-E619),0))</f>
        <v/>
      </c>
    </row>
    <row r="621" customFormat="false" ht="15" hidden="false" customHeight="false" outlineLevel="0" collapsed="false">
      <c r="A621" s="13" t="str">
        <f aca="false">IF(Prices!A621="","",Prices!A621)</f>
        <v/>
      </c>
      <c r="B621" s="14" t="str">
        <f aca="false">IF(A621="","",Prices!C621)</f>
        <v/>
      </c>
      <c r="C621" s="15" t="str">
        <f aca="false">IF(A621="","",IFERROR(INDEX(FX!$B:$B,MATCH(A621,FX!$A:$A,1)),""))</f>
        <v/>
      </c>
      <c r="D621" s="14" t="str">
        <f aca="false">IF(A621="","",SUMIFS(Transactions!$D:$D,Transactions!$A:$A,"&lt;="&amp;A621,Transactions!$B:$B,Settings!$B$1))</f>
        <v/>
      </c>
      <c r="E621" s="14" t="str">
        <f aca="false">IF(A621="","",SUMIFS(Transactions!$C:$C,Transactions!$A:$A,"&lt;="&amp;A621,Transactions!$B:$B,Settings!$B$1)+SUMIFS(Transactions!$F:$F,Transactions!$A:$A,"&lt;="&amp;A621,Transactions!$B:$B,Settings!$B$1))</f>
        <v/>
      </c>
      <c r="F621" s="14" t="str">
        <f aca="false">IF(A621="","",IF(C621="","",D621*B621*C621))</f>
        <v/>
      </c>
      <c r="G621" s="14" t="str">
        <f aca="false">IF(F621="","",F621-E621)</f>
        <v/>
      </c>
      <c r="H621" s="14" t="str">
        <f aca="false">IF(F621="","",IFERROR(F621-F620-(E621-E620),0))</f>
        <v/>
      </c>
    </row>
    <row r="622" customFormat="false" ht="15" hidden="false" customHeight="false" outlineLevel="0" collapsed="false">
      <c r="A622" s="13" t="str">
        <f aca="false">IF(Prices!A622="","",Prices!A622)</f>
        <v/>
      </c>
      <c r="B622" s="14" t="str">
        <f aca="false">IF(A622="","",Prices!C622)</f>
        <v/>
      </c>
      <c r="C622" s="15" t="str">
        <f aca="false">IF(A622="","",IFERROR(INDEX(FX!$B:$B,MATCH(A622,FX!$A:$A,1)),""))</f>
        <v/>
      </c>
      <c r="D622" s="14" t="str">
        <f aca="false">IF(A622="","",SUMIFS(Transactions!$D:$D,Transactions!$A:$A,"&lt;="&amp;A622,Transactions!$B:$B,Settings!$B$1))</f>
        <v/>
      </c>
      <c r="E622" s="14" t="str">
        <f aca="false">IF(A622="","",SUMIFS(Transactions!$C:$C,Transactions!$A:$A,"&lt;="&amp;A622,Transactions!$B:$B,Settings!$B$1)+SUMIFS(Transactions!$F:$F,Transactions!$A:$A,"&lt;="&amp;A622,Transactions!$B:$B,Settings!$B$1))</f>
        <v/>
      </c>
      <c r="F622" s="14" t="str">
        <f aca="false">IF(A622="","",IF(C622="","",D622*B622*C622))</f>
        <v/>
      </c>
      <c r="G622" s="14" t="str">
        <f aca="false">IF(F622="","",F622-E622)</f>
        <v/>
      </c>
      <c r="H622" s="14" t="str">
        <f aca="false">IF(F622="","",IFERROR(F622-F621-(E622-E621),0))</f>
        <v/>
      </c>
    </row>
    <row r="623" customFormat="false" ht="15" hidden="false" customHeight="false" outlineLevel="0" collapsed="false">
      <c r="A623" s="13" t="str">
        <f aca="false">IF(Prices!A623="","",Prices!A623)</f>
        <v/>
      </c>
      <c r="B623" s="14" t="str">
        <f aca="false">IF(A623="","",Prices!C623)</f>
        <v/>
      </c>
      <c r="C623" s="15" t="str">
        <f aca="false">IF(A623="","",IFERROR(INDEX(FX!$B:$B,MATCH(A623,FX!$A:$A,1)),""))</f>
        <v/>
      </c>
      <c r="D623" s="14" t="str">
        <f aca="false">IF(A623="","",SUMIFS(Transactions!$D:$D,Transactions!$A:$A,"&lt;="&amp;A623,Transactions!$B:$B,Settings!$B$1))</f>
        <v/>
      </c>
      <c r="E623" s="14" t="str">
        <f aca="false">IF(A623="","",SUMIFS(Transactions!$C:$C,Transactions!$A:$A,"&lt;="&amp;A623,Transactions!$B:$B,Settings!$B$1)+SUMIFS(Transactions!$F:$F,Transactions!$A:$A,"&lt;="&amp;A623,Transactions!$B:$B,Settings!$B$1))</f>
        <v/>
      </c>
      <c r="F623" s="14" t="str">
        <f aca="false">IF(A623="","",IF(C623="","",D623*B623*C623))</f>
        <v/>
      </c>
      <c r="G623" s="14" t="str">
        <f aca="false">IF(F623="","",F623-E623)</f>
        <v/>
      </c>
      <c r="H623" s="14" t="str">
        <f aca="false">IF(F623="","",IFERROR(F623-F622-(E623-E622),0))</f>
        <v/>
      </c>
    </row>
    <row r="624" customFormat="false" ht="15" hidden="false" customHeight="false" outlineLevel="0" collapsed="false">
      <c r="A624" s="13" t="str">
        <f aca="false">IF(Prices!A624="","",Prices!A624)</f>
        <v/>
      </c>
      <c r="B624" s="14" t="str">
        <f aca="false">IF(A624="","",Prices!C624)</f>
        <v/>
      </c>
      <c r="C624" s="15" t="str">
        <f aca="false">IF(A624="","",IFERROR(INDEX(FX!$B:$B,MATCH(A624,FX!$A:$A,1)),""))</f>
        <v/>
      </c>
      <c r="D624" s="14" t="str">
        <f aca="false">IF(A624="","",SUMIFS(Transactions!$D:$D,Transactions!$A:$A,"&lt;="&amp;A624,Transactions!$B:$B,Settings!$B$1))</f>
        <v/>
      </c>
      <c r="E624" s="14" t="str">
        <f aca="false">IF(A624="","",SUMIFS(Transactions!$C:$C,Transactions!$A:$A,"&lt;="&amp;A624,Transactions!$B:$B,Settings!$B$1)+SUMIFS(Transactions!$F:$F,Transactions!$A:$A,"&lt;="&amp;A624,Transactions!$B:$B,Settings!$B$1))</f>
        <v/>
      </c>
      <c r="F624" s="14" t="str">
        <f aca="false">IF(A624="","",IF(C624="","",D624*B624*C624))</f>
        <v/>
      </c>
      <c r="G624" s="14" t="str">
        <f aca="false">IF(F624="","",F624-E624)</f>
        <v/>
      </c>
      <c r="H624" s="14" t="str">
        <f aca="false">IF(F624="","",IFERROR(F624-F623-(E624-E623),0))</f>
        <v/>
      </c>
    </row>
    <row r="625" customFormat="false" ht="15" hidden="false" customHeight="false" outlineLevel="0" collapsed="false">
      <c r="A625" s="13" t="str">
        <f aca="false">IF(Prices!A625="","",Prices!A625)</f>
        <v/>
      </c>
      <c r="B625" s="14" t="str">
        <f aca="false">IF(A625="","",Prices!C625)</f>
        <v/>
      </c>
      <c r="C625" s="15" t="str">
        <f aca="false">IF(A625="","",IFERROR(INDEX(FX!$B:$B,MATCH(A625,FX!$A:$A,1)),""))</f>
        <v/>
      </c>
      <c r="D625" s="14" t="str">
        <f aca="false">IF(A625="","",SUMIFS(Transactions!$D:$D,Transactions!$A:$A,"&lt;="&amp;A625,Transactions!$B:$B,Settings!$B$1))</f>
        <v/>
      </c>
      <c r="E625" s="14" t="str">
        <f aca="false">IF(A625="","",SUMIFS(Transactions!$C:$C,Transactions!$A:$A,"&lt;="&amp;A625,Transactions!$B:$B,Settings!$B$1)+SUMIFS(Transactions!$F:$F,Transactions!$A:$A,"&lt;="&amp;A625,Transactions!$B:$B,Settings!$B$1))</f>
        <v/>
      </c>
      <c r="F625" s="14" t="str">
        <f aca="false">IF(A625="","",IF(C625="","",D625*B625*C625))</f>
        <v/>
      </c>
      <c r="G625" s="14" t="str">
        <f aca="false">IF(F625="","",F625-E625)</f>
        <v/>
      </c>
      <c r="H625" s="14" t="str">
        <f aca="false">IF(F625="","",IFERROR(F625-F624-(E625-E624),0))</f>
        <v/>
      </c>
    </row>
    <row r="626" customFormat="false" ht="15" hidden="false" customHeight="false" outlineLevel="0" collapsed="false">
      <c r="A626" s="13" t="str">
        <f aca="false">IF(Prices!A626="","",Prices!A626)</f>
        <v/>
      </c>
      <c r="B626" s="14" t="str">
        <f aca="false">IF(A626="","",Prices!C626)</f>
        <v/>
      </c>
      <c r="C626" s="15" t="str">
        <f aca="false">IF(A626="","",IFERROR(INDEX(FX!$B:$B,MATCH(A626,FX!$A:$A,1)),""))</f>
        <v/>
      </c>
      <c r="D626" s="14" t="str">
        <f aca="false">IF(A626="","",SUMIFS(Transactions!$D:$D,Transactions!$A:$A,"&lt;="&amp;A626,Transactions!$B:$B,Settings!$B$1))</f>
        <v/>
      </c>
      <c r="E626" s="14" t="str">
        <f aca="false">IF(A626="","",SUMIFS(Transactions!$C:$C,Transactions!$A:$A,"&lt;="&amp;A626,Transactions!$B:$B,Settings!$B$1)+SUMIFS(Transactions!$F:$F,Transactions!$A:$A,"&lt;="&amp;A626,Transactions!$B:$B,Settings!$B$1))</f>
        <v/>
      </c>
      <c r="F626" s="14" t="str">
        <f aca="false">IF(A626="","",IF(C626="","",D626*B626*C626))</f>
        <v/>
      </c>
      <c r="G626" s="14" t="str">
        <f aca="false">IF(F626="","",F626-E626)</f>
        <v/>
      </c>
      <c r="H626" s="14" t="str">
        <f aca="false">IF(F626="","",IFERROR(F626-F625-(E626-E625),0))</f>
        <v/>
      </c>
    </row>
    <row r="627" customFormat="false" ht="15" hidden="false" customHeight="false" outlineLevel="0" collapsed="false">
      <c r="A627" s="13" t="str">
        <f aca="false">IF(Prices!A627="","",Prices!A627)</f>
        <v/>
      </c>
      <c r="B627" s="14" t="str">
        <f aca="false">IF(A627="","",Prices!C627)</f>
        <v/>
      </c>
      <c r="C627" s="15" t="str">
        <f aca="false">IF(A627="","",IFERROR(INDEX(FX!$B:$B,MATCH(A627,FX!$A:$A,1)),""))</f>
        <v/>
      </c>
      <c r="D627" s="14" t="str">
        <f aca="false">IF(A627="","",SUMIFS(Transactions!$D:$D,Transactions!$A:$A,"&lt;="&amp;A627,Transactions!$B:$B,Settings!$B$1))</f>
        <v/>
      </c>
      <c r="E627" s="14" t="str">
        <f aca="false">IF(A627="","",SUMIFS(Transactions!$C:$C,Transactions!$A:$A,"&lt;="&amp;A627,Transactions!$B:$B,Settings!$B$1)+SUMIFS(Transactions!$F:$F,Transactions!$A:$A,"&lt;="&amp;A627,Transactions!$B:$B,Settings!$B$1))</f>
        <v/>
      </c>
      <c r="F627" s="14" t="str">
        <f aca="false">IF(A627="","",IF(C627="","",D627*B627*C627))</f>
        <v/>
      </c>
      <c r="G627" s="14" t="str">
        <f aca="false">IF(F627="","",F627-E627)</f>
        <v/>
      </c>
      <c r="H627" s="14" t="str">
        <f aca="false">IF(F627="","",IFERROR(F627-F626-(E627-E626),0))</f>
        <v/>
      </c>
    </row>
    <row r="628" customFormat="false" ht="15" hidden="false" customHeight="false" outlineLevel="0" collapsed="false">
      <c r="A628" s="13" t="str">
        <f aca="false">IF(Prices!A628="","",Prices!A628)</f>
        <v/>
      </c>
      <c r="B628" s="14" t="str">
        <f aca="false">IF(A628="","",Prices!C628)</f>
        <v/>
      </c>
      <c r="C628" s="15" t="str">
        <f aca="false">IF(A628="","",IFERROR(INDEX(FX!$B:$B,MATCH(A628,FX!$A:$A,1)),""))</f>
        <v/>
      </c>
      <c r="D628" s="14" t="str">
        <f aca="false">IF(A628="","",SUMIFS(Transactions!$D:$D,Transactions!$A:$A,"&lt;="&amp;A628,Transactions!$B:$B,Settings!$B$1))</f>
        <v/>
      </c>
      <c r="E628" s="14" t="str">
        <f aca="false">IF(A628="","",SUMIFS(Transactions!$C:$C,Transactions!$A:$A,"&lt;="&amp;A628,Transactions!$B:$B,Settings!$B$1)+SUMIFS(Transactions!$F:$F,Transactions!$A:$A,"&lt;="&amp;A628,Transactions!$B:$B,Settings!$B$1))</f>
        <v/>
      </c>
      <c r="F628" s="14" t="str">
        <f aca="false">IF(A628="","",IF(C628="","",D628*B628*C628))</f>
        <v/>
      </c>
      <c r="G628" s="14" t="str">
        <f aca="false">IF(F628="","",F628-E628)</f>
        <v/>
      </c>
      <c r="H628" s="14" t="str">
        <f aca="false">IF(F628="","",IFERROR(F628-F627-(E628-E627),0))</f>
        <v/>
      </c>
    </row>
    <row r="629" customFormat="false" ht="15" hidden="false" customHeight="false" outlineLevel="0" collapsed="false">
      <c r="A629" s="13" t="str">
        <f aca="false">IF(Prices!A629="","",Prices!A629)</f>
        <v/>
      </c>
      <c r="B629" s="14" t="str">
        <f aca="false">IF(A629="","",Prices!C629)</f>
        <v/>
      </c>
      <c r="C629" s="15" t="str">
        <f aca="false">IF(A629="","",IFERROR(INDEX(FX!$B:$B,MATCH(A629,FX!$A:$A,1)),""))</f>
        <v/>
      </c>
      <c r="D629" s="14" t="str">
        <f aca="false">IF(A629="","",SUMIFS(Transactions!$D:$D,Transactions!$A:$A,"&lt;="&amp;A629,Transactions!$B:$B,Settings!$B$1))</f>
        <v/>
      </c>
      <c r="E629" s="14" t="str">
        <f aca="false">IF(A629="","",SUMIFS(Transactions!$C:$C,Transactions!$A:$A,"&lt;="&amp;A629,Transactions!$B:$B,Settings!$B$1)+SUMIFS(Transactions!$F:$F,Transactions!$A:$A,"&lt;="&amp;A629,Transactions!$B:$B,Settings!$B$1))</f>
        <v/>
      </c>
      <c r="F629" s="14" t="str">
        <f aca="false">IF(A629="","",IF(C629="","",D629*B629*C629))</f>
        <v/>
      </c>
      <c r="G629" s="14" t="str">
        <f aca="false">IF(F629="","",F629-E629)</f>
        <v/>
      </c>
      <c r="H629" s="14" t="str">
        <f aca="false">IF(F629="","",IFERROR(F629-F628-(E629-E628),0))</f>
        <v/>
      </c>
    </row>
    <row r="630" customFormat="false" ht="15" hidden="false" customHeight="false" outlineLevel="0" collapsed="false">
      <c r="A630" s="13" t="str">
        <f aca="false">IF(Prices!A630="","",Prices!A630)</f>
        <v/>
      </c>
      <c r="B630" s="14" t="str">
        <f aca="false">IF(A630="","",Prices!C630)</f>
        <v/>
      </c>
      <c r="C630" s="15" t="str">
        <f aca="false">IF(A630="","",IFERROR(INDEX(FX!$B:$B,MATCH(A630,FX!$A:$A,1)),""))</f>
        <v/>
      </c>
      <c r="D630" s="14" t="str">
        <f aca="false">IF(A630="","",SUMIFS(Transactions!$D:$D,Transactions!$A:$A,"&lt;="&amp;A630,Transactions!$B:$B,Settings!$B$1))</f>
        <v/>
      </c>
      <c r="E630" s="14" t="str">
        <f aca="false">IF(A630="","",SUMIFS(Transactions!$C:$C,Transactions!$A:$A,"&lt;="&amp;A630,Transactions!$B:$B,Settings!$B$1)+SUMIFS(Transactions!$F:$F,Transactions!$A:$A,"&lt;="&amp;A630,Transactions!$B:$B,Settings!$B$1))</f>
        <v/>
      </c>
      <c r="F630" s="14" t="str">
        <f aca="false">IF(A630="","",IF(C630="","",D630*B630*C630))</f>
        <v/>
      </c>
      <c r="G630" s="14" t="str">
        <f aca="false">IF(F630="","",F630-E630)</f>
        <v/>
      </c>
      <c r="H630" s="14" t="str">
        <f aca="false">IF(F630="","",IFERROR(F630-F629-(E630-E629),0))</f>
        <v/>
      </c>
    </row>
    <row r="631" customFormat="false" ht="15" hidden="false" customHeight="false" outlineLevel="0" collapsed="false">
      <c r="A631" s="13" t="str">
        <f aca="false">IF(Prices!A631="","",Prices!A631)</f>
        <v/>
      </c>
      <c r="B631" s="14" t="str">
        <f aca="false">IF(A631="","",Prices!C631)</f>
        <v/>
      </c>
      <c r="C631" s="15" t="str">
        <f aca="false">IF(A631="","",IFERROR(INDEX(FX!$B:$B,MATCH(A631,FX!$A:$A,1)),""))</f>
        <v/>
      </c>
      <c r="D631" s="14" t="str">
        <f aca="false">IF(A631="","",SUMIFS(Transactions!$D:$D,Transactions!$A:$A,"&lt;="&amp;A631,Transactions!$B:$B,Settings!$B$1))</f>
        <v/>
      </c>
      <c r="E631" s="14" t="str">
        <f aca="false">IF(A631="","",SUMIFS(Transactions!$C:$C,Transactions!$A:$A,"&lt;="&amp;A631,Transactions!$B:$B,Settings!$B$1)+SUMIFS(Transactions!$F:$F,Transactions!$A:$A,"&lt;="&amp;A631,Transactions!$B:$B,Settings!$B$1))</f>
        <v/>
      </c>
      <c r="F631" s="14" t="str">
        <f aca="false">IF(A631="","",IF(C631="","",D631*B631*C631))</f>
        <v/>
      </c>
      <c r="G631" s="14" t="str">
        <f aca="false">IF(F631="","",F631-E631)</f>
        <v/>
      </c>
      <c r="H631" s="14" t="str">
        <f aca="false">IF(F631="","",IFERROR(F631-F630-(E631-E630),0))</f>
        <v/>
      </c>
    </row>
    <row r="632" customFormat="false" ht="15" hidden="false" customHeight="false" outlineLevel="0" collapsed="false">
      <c r="A632" s="13" t="str">
        <f aca="false">IF(Prices!A632="","",Prices!A632)</f>
        <v/>
      </c>
      <c r="B632" s="14" t="str">
        <f aca="false">IF(A632="","",Prices!C632)</f>
        <v/>
      </c>
      <c r="C632" s="15" t="str">
        <f aca="false">IF(A632="","",IFERROR(INDEX(FX!$B:$B,MATCH(A632,FX!$A:$A,1)),""))</f>
        <v/>
      </c>
      <c r="D632" s="14" t="str">
        <f aca="false">IF(A632="","",SUMIFS(Transactions!$D:$D,Transactions!$A:$A,"&lt;="&amp;A632,Transactions!$B:$B,Settings!$B$1))</f>
        <v/>
      </c>
      <c r="E632" s="14" t="str">
        <f aca="false">IF(A632="","",SUMIFS(Transactions!$C:$C,Transactions!$A:$A,"&lt;="&amp;A632,Transactions!$B:$B,Settings!$B$1)+SUMIFS(Transactions!$F:$F,Transactions!$A:$A,"&lt;="&amp;A632,Transactions!$B:$B,Settings!$B$1))</f>
        <v/>
      </c>
      <c r="F632" s="14" t="str">
        <f aca="false">IF(A632="","",IF(C632="","",D632*B632*C632))</f>
        <v/>
      </c>
      <c r="G632" s="14" t="str">
        <f aca="false">IF(F632="","",F632-E632)</f>
        <v/>
      </c>
      <c r="H632" s="14" t="str">
        <f aca="false">IF(F632="","",IFERROR(F632-F631-(E632-E631),0))</f>
        <v/>
      </c>
    </row>
    <row r="633" customFormat="false" ht="15" hidden="false" customHeight="false" outlineLevel="0" collapsed="false">
      <c r="A633" s="13" t="str">
        <f aca="false">IF(Prices!A633="","",Prices!A633)</f>
        <v/>
      </c>
      <c r="B633" s="14" t="str">
        <f aca="false">IF(A633="","",Prices!C633)</f>
        <v/>
      </c>
      <c r="C633" s="15" t="str">
        <f aca="false">IF(A633="","",IFERROR(INDEX(FX!$B:$B,MATCH(A633,FX!$A:$A,1)),""))</f>
        <v/>
      </c>
      <c r="D633" s="14" t="str">
        <f aca="false">IF(A633="","",SUMIFS(Transactions!$D:$D,Transactions!$A:$A,"&lt;="&amp;A633,Transactions!$B:$B,Settings!$B$1))</f>
        <v/>
      </c>
      <c r="E633" s="14" t="str">
        <f aca="false">IF(A633="","",SUMIFS(Transactions!$C:$C,Transactions!$A:$A,"&lt;="&amp;A633,Transactions!$B:$B,Settings!$B$1)+SUMIFS(Transactions!$F:$F,Transactions!$A:$A,"&lt;="&amp;A633,Transactions!$B:$B,Settings!$B$1))</f>
        <v/>
      </c>
      <c r="F633" s="14" t="str">
        <f aca="false">IF(A633="","",IF(C633="","",D633*B633*C633))</f>
        <v/>
      </c>
      <c r="G633" s="14" t="str">
        <f aca="false">IF(F633="","",F633-E633)</f>
        <v/>
      </c>
      <c r="H633" s="14" t="str">
        <f aca="false">IF(F633="","",IFERROR(F633-F632-(E633-E632),0))</f>
        <v/>
      </c>
    </row>
    <row r="634" customFormat="false" ht="15" hidden="false" customHeight="false" outlineLevel="0" collapsed="false">
      <c r="A634" s="13" t="str">
        <f aca="false">IF(Prices!A634="","",Prices!A634)</f>
        <v/>
      </c>
      <c r="B634" s="14" t="str">
        <f aca="false">IF(A634="","",Prices!C634)</f>
        <v/>
      </c>
      <c r="C634" s="15" t="str">
        <f aca="false">IF(A634="","",IFERROR(INDEX(FX!$B:$B,MATCH(A634,FX!$A:$A,1)),""))</f>
        <v/>
      </c>
      <c r="D634" s="14" t="str">
        <f aca="false">IF(A634="","",SUMIFS(Transactions!$D:$D,Transactions!$A:$A,"&lt;="&amp;A634,Transactions!$B:$B,Settings!$B$1))</f>
        <v/>
      </c>
      <c r="E634" s="14" t="str">
        <f aca="false">IF(A634="","",SUMIFS(Transactions!$C:$C,Transactions!$A:$A,"&lt;="&amp;A634,Transactions!$B:$B,Settings!$B$1)+SUMIFS(Transactions!$F:$F,Transactions!$A:$A,"&lt;="&amp;A634,Transactions!$B:$B,Settings!$B$1))</f>
        <v/>
      </c>
      <c r="F634" s="14" t="str">
        <f aca="false">IF(A634="","",IF(C634="","",D634*B634*C634))</f>
        <v/>
      </c>
      <c r="G634" s="14" t="str">
        <f aca="false">IF(F634="","",F634-E634)</f>
        <v/>
      </c>
      <c r="H634" s="14" t="str">
        <f aca="false">IF(F634="","",IFERROR(F634-F633-(E634-E633),0))</f>
        <v/>
      </c>
    </row>
    <row r="635" customFormat="false" ht="15" hidden="false" customHeight="false" outlineLevel="0" collapsed="false">
      <c r="A635" s="13" t="str">
        <f aca="false">IF(Prices!A635="","",Prices!A635)</f>
        <v/>
      </c>
      <c r="B635" s="14" t="str">
        <f aca="false">IF(A635="","",Prices!C635)</f>
        <v/>
      </c>
      <c r="C635" s="15" t="str">
        <f aca="false">IF(A635="","",IFERROR(INDEX(FX!$B:$B,MATCH(A635,FX!$A:$A,1)),""))</f>
        <v/>
      </c>
      <c r="D635" s="14" t="str">
        <f aca="false">IF(A635="","",SUMIFS(Transactions!$D:$D,Transactions!$A:$A,"&lt;="&amp;A635,Transactions!$B:$B,Settings!$B$1))</f>
        <v/>
      </c>
      <c r="E635" s="14" t="str">
        <f aca="false">IF(A635="","",SUMIFS(Transactions!$C:$C,Transactions!$A:$A,"&lt;="&amp;A635,Transactions!$B:$B,Settings!$B$1)+SUMIFS(Transactions!$F:$F,Transactions!$A:$A,"&lt;="&amp;A635,Transactions!$B:$B,Settings!$B$1))</f>
        <v/>
      </c>
      <c r="F635" s="14" t="str">
        <f aca="false">IF(A635="","",IF(C635="","",D635*B635*C635))</f>
        <v/>
      </c>
      <c r="G635" s="14" t="str">
        <f aca="false">IF(F635="","",F635-E635)</f>
        <v/>
      </c>
      <c r="H635" s="14" t="str">
        <f aca="false">IF(F635="","",IFERROR(F635-F634-(E635-E634),0))</f>
        <v/>
      </c>
    </row>
    <row r="636" customFormat="false" ht="15" hidden="false" customHeight="false" outlineLevel="0" collapsed="false">
      <c r="A636" s="13" t="str">
        <f aca="false">IF(Prices!A636="","",Prices!A636)</f>
        <v/>
      </c>
      <c r="B636" s="14" t="str">
        <f aca="false">IF(A636="","",Prices!C636)</f>
        <v/>
      </c>
      <c r="C636" s="15" t="str">
        <f aca="false">IF(A636="","",IFERROR(INDEX(FX!$B:$B,MATCH(A636,FX!$A:$A,1)),""))</f>
        <v/>
      </c>
      <c r="D636" s="14" t="str">
        <f aca="false">IF(A636="","",SUMIFS(Transactions!$D:$D,Transactions!$A:$A,"&lt;="&amp;A636,Transactions!$B:$B,Settings!$B$1))</f>
        <v/>
      </c>
      <c r="E636" s="14" t="str">
        <f aca="false">IF(A636="","",SUMIFS(Transactions!$C:$C,Transactions!$A:$A,"&lt;="&amp;A636,Transactions!$B:$B,Settings!$B$1)+SUMIFS(Transactions!$F:$F,Transactions!$A:$A,"&lt;="&amp;A636,Transactions!$B:$B,Settings!$B$1))</f>
        <v/>
      </c>
      <c r="F636" s="14" t="str">
        <f aca="false">IF(A636="","",IF(C636="","",D636*B636*C636))</f>
        <v/>
      </c>
      <c r="G636" s="14" t="str">
        <f aca="false">IF(F636="","",F636-E636)</f>
        <v/>
      </c>
      <c r="H636" s="14" t="str">
        <f aca="false">IF(F636="","",IFERROR(F636-F635-(E636-E635),0))</f>
        <v/>
      </c>
    </row>
    <row r="637" customFormat="false" ht="15" hidden="false" customHeight="false" outlineLevel="0" collapsed="false">
      <c r="A637" s="13" t="str">
        <f aca="false">IF(Prices!A637="","",Prices!A637)</f>
        <v/>
      </c>
      <c r="B637" s="14" t="str">
        <f aca="false">IF(A637="","",Prices!C637)</f>
        <v/>
      </c>
      <c r="C637" s="15" t="str">
        <f aca="false">IF(A637="","",IFERROR(INDEX(FX!$B:$B,MATCH(A637,FX!$A:$A,1)),""))</f>
        <v/>
      </c>
      <c r="D637" s="14" t="str">
        <f aca="false">IF(A637="","",SUMIFS(Transactions!$D:$D,Transactions!$A:$A,"&lt;="&amp;A637,Transactions!$B:$B,Settings!$B$1))</f>
        <v/>
      </c>
      <c r="E637" s="14" t="str">
        <f aca="false">IF(A637="","",SUMIFS(Transactions!$C:$C,Transactions!$A:$A,"&lt;="&amp;A637,Transactions!$B:$B,Settings!$B$1)+SUMIFS(Transactions!$F:$F,Transactions!$A:$A,"&lt;="&amp;A637,Transactions!$B:$B,Settings!$B$1))</f>
        <v/>
      </c>
      <c r="F637" s="14" t="str">
        <f aca="false">IF(A637="","",IF(C637="","",D637*B637*C637))</f>
        <v/>
      </c>
      <c r="G637" s="14" t="str">
        <f aca="false">IF(F637="","",F637-E637)</f>
        <v/>
      </c>
      <c r="H637" s="14" t="str">
        <f aca="false">IF(F637="","",IFERROR(F637-F636-(E637-E636),0))</f>
        <v/>
      </c>
    </row>
    <row r="638" customFormat="false" ht="15" hidden="false" customHeight="false" outlineLevel="0" collapsed="false">
      <c r="A638" s="13" t="str">
        <f aca="false">IF(Prices!A638="","",Prices!A638)</f>
        <v/>
      </c>
      <c r="B638" s="14" t="str">
        <f aca="false">IF(A638="","",Prices!C638)</f>
        <v/>
      </c>
      <c r="C638" s="15" t="str">
        <f aca="false">IF(A638="","",IFERROR(INDEX(FX!$B:$B,MATCH(A638,FX!$A:$A,1)),""))</f>
        <v/>
      </c>
      <c r="D638" s="14" t="str">
        <f aca="false">IF(A638="","",SUMIFS(Transactions!$D:$D,Transactions!$A:$A,"&lt;="&amp;A638,Transactions!$B:$B,Settings!$B$1))</f>
        <v/>
      </c>
      <c r="E638" s="14" t="str">
        <f aca="false">IF(A638="","",SUMIFS(Transactions!$C:$C,Transactions!$A:$A,"&lt;="&amp;A638,Transactions!$B:$B,Settings!$B$1)+SUMIFS(Transactions!$F:$F,Transactions!$A:$A,"&lt;="&amp;A638,Transactions!$B:$B,Settings!$B$1))</f>
        <v/>
      </c>
      <c r="F638" s="14" t="str">
        <f aca="false">IF(A638="","",IF(C638="","",D638*B638*C638))</f>
        <v/>
      </c>
      <c r="G638" s="14" t="str">
        <f aca="false">IF(F638="","",F638-E638)</f>
        <v/>
      </c>
      <c r="H638" s="14" t="str">
        <f aca="false">IF(F638="","",IFERROR(F638-F637-(E638-E637),0))</f>
        <v/>
      </c>
    </row>
    <row r="639" customFormat="false" ht="15" hidden="false" customHeight="false" outlineLevel="0" collapsed="false">
      <c r="A639" s="13" t="str">
        <f aca="false">IF(Prices!A639="","",Prices!A639)</f>
        <v/>
      </c>
      <c r="B639" s="14" t="str">
        <f aca="false">IF(A639="","",Prices!C639)</f>
        <v/>
      </c>
      <c r="C639" s="15" t="str">
        <f aca="false">IF(A639="","",IFERROR(INDEX(FX!$B:$B,MATCH(A639,FX!$A:$A,1)),""))</f>
        <v/>
      </c>
      <c r="D639" s="14" t="str">
        <f aca="false">IF(A639="","",SUMIFS(Transactions!$D:$D,Transactions!$A:$A,"&lt;="&amp;A639,Transactions!$B:$B,Settings!$B$1))</f>
        <v/>
      </c>
      <c r="E639" s="14" t="str">
        <f aca="false">IF(A639="","",SUMIFS(Transactions!$C:$C,Transactions!$A:$A,"&lt;="&amp;A639,Transactions!$B:$B,Settings!$B$1)+SUMIFS(Transactions!$F:$F,Transactions!$A:$A,"&lt;="&amp;A639,Transactions!$B:$B,Settings!$B$1))</f>
        <v/>
      </c>
      <c r="F639" s="14" t="str">
        <f aca="false">IF(A639="","",IF(C639="","",D639*B639*C639))</f>
        <v/>
      </c>
      <c r="G639" s="14" t="str">
        <f aca="false">IF(F639="","",F639-E639)</f>
        <v/>
      </c>
      <c r="H639" s="14" t="str">
        <f aca="false">IF(F639="","",IFERROR(F639-F638-(E639-E638),0))</f>
        <v/>
      </c>
    </row>
    <row r="640" customFormat="false" ht="15" hidden="false" customHeight="false" outlineLevel="0" collapsed="false">
      <c r="A640" s="13" t="str">
        <f aca="false">IF(Prices!A640="","",Prices!A640)</f>
        <v/>
      </c>
      <c r="B640" s="14" t="str">
        <f aca="false">IF(A640="","",Prices!C640)</f>
        <v/>
      </c>
      <c r="C640" s="15" t="str">
        <f aca="false">IF(A640="","",IFERROR(INDEX(FX!$B:$B,MATCH(A640,FX!$A:$A,1)),""))</f>
        <v/>
      </c>
      <c r="D640" s="14" t="str">
        <f aca="false">IF(A640="","",SUMIFS(Transactions!$D:$D,Transactions!$A:$A,"&lt;="&amp;A640,Transactions!$B:$B,Settings!$B$1))</f>
        <v/>
      </c>
      <c r="E640" s="14" t="str">
        <f aca="false">IF(A640="","",SUMIFS(Transactions!$C:$C,Transactions!$A:$A,"&lt;="&amp;A640,Transactions!$B:$B,Settings!$B$1)+SUMIFS(Transactions!$F:$F,Transactions!$A:$A,"&lt;="&amp;A640,Transactions!$B:$B,Settings!$B$1))</f>
        <v/>
      </c>
      <c r="F640" s="14" t="str">
        <f aca="false">IF(A640="","",IF(C640="","",D640*B640*C640))</f>
        <v/>
      </c>
      <c r="G640" s="14" t="str">
        <f aca="false">IF(F640="","",F640-E640)</f>
        <v/>
      </c>
      <c r="H640" s="14" t="str">
        <f aca="false">IF(F640="","",IFERROR(F640-F639-(E640-E639),0))</f>
        <v/>
      </c>
    </row>
    <row r="641" customFormat="false" ht="15" hidden="false" customHeight="false" outlineLevel="0" collapsed="false">
      <c r="A641" s="13" t="str">
        <f aca="false">IF(Prices!A641="","",Prices!A641)</f>
        <v/>
      </c>
      <c r="B641" s="14" t="str">
        <f aca="false">IF(A641="","",Prices!C641)</f>
        <v/>
      </c>
      <c r="C641" s="15" t="str">
        <f aca="false">IF(A641="","",IFERROR(INDEX(FX!$B:$B,MATCH(A641,FX!$A:$A,1)),""))</f>
        <v/>
      </c>
      <c r="D641" s="14" t="str">
        <f aca="false">IF(A641="","",SUMIFS(Transactions!$D:$D,Transactions!$A:$A,"&lt;="&amp;A641,Transactions!$B:$B,Settings!$B$1))</f>
        <v/>
      </c>
      <c r="E641" s="14" t="str">
        <f aca="false">IF(A641="","",SUMIFS(Transactions!$C:$C,Transactions!$A:$A,"&lt;="&amp;A641,Transactions!$B:$B,Settings!$B$1)+SUMIFS(Transactions!$F:$F,Transactions!$A:$A,"&lt;="&amp;A641,Transactions!$B:$B,Settings!$B$1))</f>
        <v/>
      </c>
      <c r="F641" s="14" t="str">
        <f aca="false">IF(A641="","",IF(C641="","",D641*B641*C641))</f>
        <v/>
      </c>
      <c r="G641" s="14" t="str">
        <f aca="false">IF(F641="","",F641-E641)</f>
        <v/>
      </c>
      <c r="H641" s="14" t="str">
        <f aca="false">IF(F641="","",IFERROR(F641-F640-(E641-E640),0))</f>
        <v/>
      </c>
    </row>
    <row r="642" customFormat="false" ht="15" hidden="false" customHeight="false" outlineLevel="0" collapsed="false">
      <c r="A642" s="13" t="str">
        <f aca="false">IF(Prices!A642="","",Prices!A642)</f>
        <v/>
      </c>
      <c r="B642" s="14" t="str">
        <f aca="false">IF(A642="","",Prices!C642)</f>
        <v/>
      </c>
      <c r="C642" s="15" t="str">
        <f aca="false">IF(A642="","",IFERROR(INDEX(FX!$B:$B,MATCH(A642,FX!$A:$A,1)),""))</f>
        <v/>
      </c>
      <c r="D642" s="14" t="str">
        <f aca="false">IF(A642="","",SUMIFS(Transactions!$D:$D,Transactions!$A:$A,"&lt;="&amp;A642,Transactions!$B:$B,Settings!$B$1))</f>
        <v/>
      </c>
      <c r="E642" s="14" t="str">
        <f aca="false">IF(A642="","",SUMIFS(Transactions!$C:$C,Transactions!$A:$A,"&lt;="&amp;A642,Transactions!$B:$B,Settings!$B$1)+SUMIFS(Transactions!$F:$F,Transactions!$A:$A,"&lt;="&amp;A642,Transactions!$B:$B,Settings!$B$1))</f>
        <v/>
      </c>
      <c r="F642" s="14" t="str">
        <f aca="false">IF(A642="","",IF(C642="","",D642*B642*C642))</f>
        <v/>
      </c>
      <c r="G642" s="14" t="str">
        <f aca="false">IF(F642="","",F642-E642)</f>
        <v/>
      </c>
      <c r="H642" s="14" t="str">
        <f aca="false">IF(F642="","",IFERROR(F642-F641-(E642-E641),0))</f>
        <v/>
      </c>
    </row>
    <row r="643" customFormat="false" ht="15" hidden="false" customHeight="false" outlineLevel="0" collapsed="false">
      <c r="A643" s="13" t="str">
        <f aca="false">IF(Prices!A643="","",Prices!A643)</f>
        <v/>
      </c>
      <c r="B643" s="14" t="str">
        <f aca="false">IF(A643="","",Prices!C643)</f>
        <v/>
      </c>
      <c r="C643" s="15" t="str">
        <f aca="false">IF(A643="","",IFERROR(INDEX(FX!$B:$B,MATCH(A643,FX!$A:$A,1)),""))</f>
        <v/>
      </c>
      <c r="D643" s="14" t="str">
        <f aca="false">IF(A643="","",SUMIFS(Transactions!$D:$D,Transactions!$A:$A,"&lt;="&amp;A643,Transactions!$B:$B,Settings!$B$1))</f>
        <v/>
      </c>
      <c r="E643" s="14" t="str">
        <f aca="false">IF(A643="","",SUMIFS(Transactions!$C:$C,Transactions!$A:$A,"&lt;="&amp;A643,Transactions!$B:$B,Settings!$B$1)+SUMIFS(Transactions!$F:$F,Transactions!$A:$A,"&lt;="&amp;A643,Transactions!$B:$B,Settings!$B$1))</f>
        <v/>
      </c>
      <c r="F643" s="14" t="str">
        <f aca="false">IF(A643="","",IF(C643="","",D643*B643*C643))</f>
        <v/>
      </c>
      <c r="G643" s="14" t="str">
        <f aca="false">IF(F643="","",F643-E643)</f>
        <v/>
      </c>
      <c r="H643" s="14" t="str">
        <f aca="false">IF(F643="","",IFERROR(F643-F642-(E643-E642),0))</f>
        <v/>
      </c>
    </row>
    <row r="644" customFormat="false" ht="15" hidden="false" customHeight="false" outlineLevel="0" collapsed="false">
      <c r="A644" s="13" t="str">
        <f aca="false">IF(Prices!A644="","",Prices!A644)</f>
        <v/>
      </c>
      <c r="B644" s="14" t="str">
        <f aca="false">IF(A644="","",Prices!C644)</f>
        <v/>
      </c>
      <c r="C644" s="15" t="str">
        <f aca="false">IF(A644="","",IFERROR(INDEX(FX!$B:$B,MATCH(A644,FX!$A:$A,1)),""))</f>
        <v/>
      </c>
      <c r="D644" s="14" t="str">
        <f aca="false">IF(A644="","",SUMIFS(Transactions!$D:$D,Transactions!$A:$A,"&lt;="&amp;A644,Transactions!$B:$B,Settings!$B$1))</f>
        <v/>
      </c>
      <c r="E644" s="14" t="str">
        <f aca="false">IF(A644="","",SUMIFS(Transactions!$C:$C,Transactions!$A:$A,"&lt;="&amp;A644,Transactions!$B:$B,Settings!$B$1)+SUMIFS(Transactions!$F:$F,Transactions!$A:$A,"&lt;="&amp;A644,Transactions!$B:$B,Settings!$B$1))</f>
        <v/>
      </c>
      <c r="F644" s="14" t="str">
        <f aca="false">IF(A644="","",IF(C644="","",D644*B644*C644))</f>
        <v/>
      </c>
      <c r="G644" s="14" t="str">
        <f aca="false">IF(F644="","",F644-E644)</f>
        <v/>
      </c>
      <c r="H644" s="14" t="str">
        <f aca="false">IF(F644="","",IFERROR(F644-F643-(E644-E643),0))</f>
        <v/>
      </c>
    </row>
    <row r="645" customFormat="false" ht="15" hidden="false" customHeight="false" outlineLevel="0" collapsed="false">
      <c r="A645" s="13" t="str">
        <f aca="false">IF(Prices!A645="","",Prices!A645)</f>
        <v/>
      </c>
      <c r="B645" s="14" t="str">
        <f aca="false">IF(A645="","",Prices!C645)</f>
        <v/>
      </c>
      <c r="C645" s="15" t="str">
        <f aca="false">IF(A645="","",IFERROR(INDEX(FX!$B:$B,MATCH(A645,FX!$A:$A,1)),""))</f>
        <v/>
      </c>
      <c r="D645" s="14" t="str">
        <f aca="false">IF(A645="","",SUMIFS(Transactions!$D:$D,Transactions!$A:$A,"&lt;="&amp;A645,Transactions!$B:$B,Settings!$B$1))</f>
        <v/>
      </c>
      <c r="E645" s="14" t="str">
        <f aca="false">IF(A645="","",SUMIFS(Transactions!$C:$C,Transactions!$A:$A,"&lt;="&amp;A645,Transactions!$B:$B,Settings!$B$1)+SUMIFS(Transactions!$F:$F,Transactions!$A:$A,"&lt;="&amp;A645,Transactions!$B:$B,Settings!$B$1))</f>
        <v/>
      </c>
      <c r="F645" s="14" t="str">
        <f aca="false">IF(A645="","",IF(C645="","",D645*B645*C645))</f>
        <v/>
      </c>
      <c r="G645" s="14" t="str">
        <f aca="false">IF(F645="","",F645-E645)</f>
        <v/>
      </c>
      <c r="H645" s="14" t="str">
        <f aca="false">IF(F645="","",IFERROR(F645-F644-(E645-E644),0))</f>
        <v/>
      </c>
    </row>
    <row r="646" customFormat="false" ht="15" hidden="false" customHeight="false" outlineLevel="0" collapsed="false">
      <c r="A646" s="13" t="str">
        <f aca="false">IF(Prices!A646="","",Prices!A646)</f>
        <v/>
      </c>
      <c r="B646" s="14" t="str">
        <f aca="false">IF(A646="","",Prices!C646)</f>
        <v/>
      </c>
      <c r="C646" s="15" t="str">
        <f aca="false">IF(A646="","",IFERROR(INDEX(FX!$B:$B,MATCH(A646,FX!$A:$A,1)),""))</f>
        <v/>
      </c>
      <c r="D646" s="14" t="str">
        <f aca="false">IF(A646="","",SUMIFS(Transactions!$D:$D,Transactions!$A:$A,"&lt;="&amp;A646,Transactions!$B:$B,Settings!$B$1))</f>
        <v/>
      </c>
      <c r="E646" s="14" t="str">
        <f aca="false">IF(A646="","",SUMIFS(Transactions!$C:$C,Transactions!$A:$A,"&lt;="&amp;A646,Transactions!$B:$B,Settings!$B$1)+SUMIFS(Transactions!$F:$F,Transactions!$A:$A,"&lt;="&amp;A646,Transactions!$B:$B,Settings!$B$1))</f>
        <v/>
      </c>
      <c r="F646" s="14" t="str">
        <f aca="false">IF(A646="","",IF(C646="","",D646*B646*C646))</f>
        <v/>
      </c>
      <c r="G646" s="14" t="str">
        <f aca="false">IF(F646="","",F646-E646)</f>
        <v/>
      </c>
      <c r="H646" s="14" t="str">
        <f aca="false">IF(F646="","",IFERROR(F646-F645-(E646-E645),0))</f>
        <v/>
      </c>
    </row>
    <row r="647" customFormat="false" ht="15" hidden="false" customHeight="false" outlineLevel="0" collapsed="false">
      <c r="A647" s="13" t="str">
        <f aca="false">IF(Prices!A647="","",Prices!A647)</f>
        <v/>
      </c>
      <c r="B647" s="14" t="str">
        <f aca="false">IF(A647="","",Prices!C647)</f>
        <v/>
      </c>
      <c r="C647" s="15" t="str">
        <f aca="false">IF(A647="","",IFERROR(INDEX(FX!$B:$B,MATCH(A647,FX!$A:$A,1)),""))</f>
        <v/>
      </c>
      <c r="D647" s="14" t="str">
        <f aca="false">IF(A647="","",SUMIFS(Transactions!$D:$D,Transactions!$A:$A,"&lt;="&amp;A647,Transactions!$B:$B,Settings!$B$1))</f>
        <v/>
      </c>
      <c r="E647" s="14" t="str">
        <f aca="false">IF(A647="","",SUMIFS(Transactions!$C:$C,Transactions!$A:$A,"&lt;="&amp;A647,Transactions!$B:$B,Settings!$B$1)+SUMIFS(Transactions!$F:$F,Transactions!$A:$A,"&lt;="&amp;A647,Transactions!$B:$B,Settings!$B$1))</f>
        <v/>
      </c>
      <c r="F647" s="14" t="str">
        <f aca="false">IF(A647="","",IF(C647="","",D647*B647*C647))</f>
        <v/>
      </c>
      <c r="G647" s="14" t="str">
        <f aca="false">IF(F647="","",F647-E647)</f>
        <v/>
      </c>
      <c r="H647" s="14" t="str">
        <f aca="false">IF(F647="","",IFERROR(F647-F646-(E647-E646),0))</f>
        <v/>
      </c>
    </row>
    <row r="648" customFormat="false" ht="15" hidden="false" customHeight="false" outlineLevel="0" collapsed="false">
      <c r="A648" s="13" t="str">
        <f aca="false">IF(Prices!A648="","",Prices!A648)</f>
        <v/>
      </c>
      <c r="B648" s="14" t="str">
        <f aca="false">IF(A648="","",Prices!C648)</f>
        <v/>
      </c>
      <c r="C648" s="15" t="str">
        <f aca="false">IF(A648="","",IFERROR(INDEX(FX!$B:$B,MATCH(A648,FX!$A:$A,1)),""))</f>
        <v/>
      </c>
      <c r="D648" s="14" t="str">
        <f aca="false">IF(A648="","",SUMIFS(Transactions!$D:$D,Transactions!$A:$A,"&lt;="&amp;A648,Transactions!$B:$B,Settings!$B$1))</f>
        <v/>
      </c>
      <c r="E648" s="14" t="str">
        <f aca="false">IF(A648="","",SUMIFS(Transactions!$C:$C,Transactions!$A:$A,"&lt;="&amp;A648,Transactions!$B:$B,Settings!$B$1)+SUMIFS(Transactions!$F:$F,Transactions!$A:$A,"&lt;="&amp;A648,Transactions!$B:$B,Settings!$B$1))</f>
        <v/>
      </c>
      <c r="F648" s="14" t="str">
        <f aca="false">IF(A648="","",IF(C648="","",D648*B648*C648))</f>
        <v/>
      </c>
      <c r="G648" s="14" t="str">
        <f aca="false">IF(F648="","",F648-E648)</f>
        <v/>
      </c>
      <c r="H648" s="14" t="str">
        <f aca="false">IF(F648="","",IFERROR(F648-F647-(E648-E647),0))</f>
        <v/>
      </c>
    </row>
    <row r="649" customFormat="false" ht="15" hidden="false" customHeight="false" outlineLevel="0" collapsed="false">
      <c r="A649" s="13" t="str">
        <f aca="false">IF(Prices!A649="","",Prices!A649)</f>
        <v/>
      </c>
      <c r="B649" s="14" t="str">
        <f aca="false">IF(A649="","",Prices!C649)</f>
        <v/>
      </c>
      <c r="C649" s="15" t="str">
        <f aca="false">IF(A649="","",IFERROR(INDEX(FX!$B:$B,MATCH(A649,FX!$A:$A,1)),""))</f>
        <v/>
      </c>
      <c r="D649" s="14" t="str">
        <f aca="false">IF(A649="","",SUMIFS(Transactions!$D:$D,Transactions!$A:$A,"&lt;="&amp;A649,Transactions!$B:$B,Settings!$B$1))</f>
        <v/>
      </c>
      <c r="E649" s="14" t="str">
        <f aca="false">IF(A649="","",SUMIFS(Transactions!$C:$C,Transactions!$A:$A,"&lt;="&amp;A649,Transactions!$B:$B,Settings!$B$1)+SUMIFS(Transactions!$F:$F,Transactions!$A:$A,"&lt;="&amp;A649,Transactions!$B:$B,Settings!$B$1))</f>
        <v/>
      </c>
      <c r="F649" s="14" t="str">
        <f aca="false">IF(A649="","",IF(C649="","",D649*B649*C649))</f>
        <v/>
      </c>
      <c r="G649" s="14" t="str">
        <f aca="false">IF(F649="","",F649-E649)</f>
        <v/>
      </c>
      <c r="H649" s="14" t="str">
        <f aca="false">IF(F649="","",IFERROR(F649-F648-(E649-E648),0))</f>
        <v/>
      </c>
    </row>
    <row r="650" customFormat="false" ht="15" hidden="false" customHeight="false" outlineLevel="0" collapsed="false">
      <c r="A650" s="13" t="str">
        <f aca="false">IF(Prices!A650="","",Prices!A650)</f>
        <v/>
      </c>
      <c r="B650" s="14" t="str">
        <f aca="false">IF(A650="","",Prices!C650)</f>
        <v/>
      </c>
      <c r="C650" s="15" t="str">
        <f aca="false">IF(A650="","",IFERROR(INDEX(FX!$B:$B,MATCH(A650,FX!$A:$A,1)),""))</f>
        <v/>
      </c>
      <c r="D650" s="14" t="str">
        <f aca="false">IF(A650="","",SUMIFS(Transactions!$D:$D,Transactions!$A:$A,"&lt;="&amp;A650,Transactions!$B:$B,Settings!$B$1))</f>
        <v/>
      </c>
      <c r="E650" s="14" t="str">
        <f aca="false">IF(A650="","",SUMIFS(Transactions!$C:$C,Transactions!$A:$A,"&lt;="&amp;A650,Transactions!$B:$B,Settings!$B$1)+SUMIFS(Transactions!$F:$F,Transactions!$A:$A,"&lt;="&amp;A650,Transactions!$B:$B,Settings!$B$1))</f>
        <v/>
      </c>
      <c r="F650" s="14" t="str">
        <f aca="false">IF(A650="","",IF(C650="","",D650*B650*C650))</f>
        <v/>
      </c>
      <c r="G650" s="14" t="str">
        <f aca="false">IF(F650="","",F650-E650)</f>
        <v/>
      </c>
      <c r="H650" s="14" t="str">
        <f aca="false">IF(F650="","",IFERROR(F650-F649-(E650-E649),0))</f>
        <v/>
      </c>
    </row>
    <row r="651" customFormat="false" ht="15" hidden="false" customHeight="false" outlineLevel="0" collapsed="false">
      <c r="A651" s="13" t="str">
        <f aca="false">IF(Prices!A651="","",Prices!A651)</f>
        <v/>
      </c>
      <c r="B651" s="14" t="str">
        <f aca="false">IF(A651="","",Prices!C651)</f>
        <v/>
      </c>
      <c r="C651" s="15" t="str">
        <f aca="false">IF(A651="","",IFERROR(INDEX(FX!$B:$B,MATCH(A651,FX!$A:$A,1)),""))</f>
        <v/>
      </c>
      <c r="D651" s="14" t="str">
        <f aca="false">IF(A651="","",SUMIFS(Transactions!$D:$D,Transactions!$A:$A,"&lt;="&amp;A651,Transactions!$B:$B,Settings!$B$1))</f>
        <v/>
      </c>
      <c r="E651" s="14" t="str">
        <f aca="false">IF(A651="","",SUMIFS(Transactions!$C:$C,Transactions!$A:$A,"&lt;="&amp;A651,Transactions!$B:$B,Settings!$B$1)+SUMIFS(Transactions!$F:$F,Transactions!$A:$A,"&lt;="&amp;A651,Transactions!$B:$B,Settings!$B$1))</f>
        <v/>
      </c>
      <c r="F651" s="14" t="str">
        <f aca="false">IF(A651="","",IF(C651="","",D651*B651*C651))</f>
        <v/>
      </c>
      <c r="G651" s="14" t="str">
        <f aca="false">IF(F651="","",F651-E651)</f>
        <v/>
      </c>
      <c r="H651" s="14" t="str">
        <f aca="false">IF(F651="","",IFERROR(F651-F650-(E651-E650),0))</f>
        <v/>
      </c>
    </row>
    <row r="652" customFormat="false" ht="15" hidden="false" customHeight="false" outlineLevel="0" collapsed="false">
      <c r="A652" s="13" t="str">
        <f aca="false">IF(Prices!A652="","",Prices!A652)</f>
        <v/>
      </c>
      <c r="B652" s="14" t="str">
        <f aca="false">IF(A652="","",Prices!C652)</f>
        <v/>
      </c>
      <c r="C652" s="15" t="str">
        <f aca="false">IF(A652="","",IFERROR(INDEX(FX!$B:$B,MATCH(A652,FX!$A:$A,1)),""))</f>
        <v/>
      </c>
      <c r="D652" s="14" t="str">
        <f aca="false">IF(A652="","",SUMIFS(Transactions!$D:$D,Transactions!$A:$A,"&lt;="&amp;A652,Transactions!$B:$B,Settings!$B$1))</f>
        <v/>
      </c>
      <c r="E652" s="14" t="str">
        <f aca="false">IF(A652="","",SUMIFS(Transactions!$C:$C,Transactions!$A:$A,"&lt;="&amp;A652,Transactions!$B:$B,Settings!$B$1)+SUMIFS(Transactions!$F:$F,Transactions!$A:$A,"&lt;="&amp;A652,Transactions!$B:$B,Settings!$B$1))</f>
        <v/>
      </c>
      <c r="F652" s="14" t="str">
        <f aca="false">IF(A652="","",IF(C652="","",D652*B652*C652))</f>
        <v/>
      </c>
      <c r="G652" s="14" t="str">
        <f aca="false">IF(F652="","",F652-E652)</f>
        <v/>
      </c>
      <c r="H652" s="14" t="str">
        <f aca="false">IF(F652="","",IFERROR(F652-F651-(E652-E651),0))</f>
        <v/>
      </c>
    </row>
    <row r="653" customFormat="false" ht="15" hidden="false" customHeight="false" outlineLevel="0" collapsed="false">
      <c r="A653" s="13" t="str">
        <f aca="false">IF(Prices!A653="","",Prices!A653)</f>
        <v/>
      </c>
      <c r="B653" s="14" t="str">
        <f aca="false">IF(A653="","",Prices!C653)</f>
        <v/>
      </c>
      <c r="C653" s="15" t="str">
        <f aca="false">IF(A653="","",IFERROR(INDEX(FX!$B:$B,MATCH(A653,FX!$A:$A,1)),""))</f>
        <v/>
      </c>
      <c r="D653" s="14" t="str">
        <f aca="false">IF(A653="","",SUMIFS(Transactions!$D:$D,Transactions!$A:$A,"&lt;="&amp;A653,Transactions!$B:$B,Settings!$B$1))</f>
        <v/>
      </c>
      <c r="E653" s="14" t="str">
        <f aca="false">IF(A653="","",SUMIFS(Transactions!$C:$C,Transactions!$A:$A,"&lt;="&amp;A653,Transactions!$B:$B,Settings!$B$1)+SUMIFS(Transactions!$F:$F,Transactions!$A:$A,"&lt;="&amp;A653,Transactions!$B:$B,Settings!$B$1))</f>
        <v/>
      </c>
      <c r="F653" s="14" t="str">
        <f aca="false">IF(A653="","",IF(C653="","",D653*B653*C653))</f>
        <v/>
      </c>
      <c r="G653" s="14" t="str">
        <f aca="false">IF(F653="","",F653-E653)</f>
        <v/>
      </c>
      <c r="H653" s="14" t="str">
        <f aca="false">IF(F653="","",IFERROR(F653-F652-(E653-E652),0))</f>
        <v/>
      </c>
    </row>
    <row r="654" customFormat="false" ht="15" hidden="false" customHeight="false" outlineLevel="0" collapsed="false">
      <c r="A654" s="13" t="str">
        <f aca="false">IF(Prices!A654="","",Prices!A654)</f>
        <v/>
      </c>
      <c r="B654" s="14" t="str">
        <f aca="false">IF(A654="","",Prices!C654)</f>
        <v/>
      </c>
      <c r="C654" s="15" t="str">
        <f aca="false">IF(A654="","",IFERROR(INDEX(FX!$B:$B,MATCH(A654,FX!$A:$A,1)),""))</f>
        <v/>
      </c>
      <c r="D654" s="14" t="str">
        <f aca="false">IF(A654="","",SUMIFS(Transactions!$D:$D,Transactions!$A:$A,"&lt;="&amp;A654,Transactions!$B:$B,Settings!$B$1))</f>
        <v/>
      </c>
      <c r="E654" s="14" t="str">
        <f aca="false">IF(A654="","",SUMIFS(Transactions!$C:$C,Transactions!$A:$A,"&lt;="&amp;A654,Transactions!$B:$B,Settings!$B$1)+SUMIFS(Transactions!$F:$F,Transactions!$A:$A,"&lt;="&amp;A654,Transactions!$B:$B,Settings!$B$1))</f>
        <v/>
      </c>
      <c r="F654" s="14" t="str">
        <f aca="false">IF(A654="","",IF(C654="","",D654*B654*C654))</f>
        <v/>
      </c>
      <c r="G654" s="14" t="str">
        <f aca="false">IF(F654="","",F654-E654)</f>
        <v/>
      </c>
      <c r="H654" s="14" t="str">
        <f aca="false">IF(F654="","",IFERROR(F654-F653-(E654-E653),0))</f>
        <v/>
      </c>
    </row>
    <row r="655" customFormat="false" ht="15" hidden="false" customHeight="false" outlineLevel="0" collapsed="false">
      <c r="A655" s="13" t="str">
        <f aca="false">IF(Prices!A655="","",Prices!A655)</f>
        <v/>
      </c>
      <c r="B655" s="14" t="str">
        <f aca="false">IF(A655="","",Prices!C655)</f>
        <v/>
      </c>
      <c r="C655" s="15" t="str">
        <f aca="false">IF(A655="","",IFERROR(INDEX(FX!$B:$B,MATCH(A655,FX!$A:$A,1)),""))</f>
        <v/>
      </c>
      <c r="D655" s="14" t="str">
        <f aca="false">IF(A655="","",SUMIFS(Transactions!$D:$D,Transactions!$A:$A,"&lt;="&amp;A655,Transactions!$B:$B,Settings!$B$1))</f>
        <v/>
      </c>
      <c r="E655" s="14" t="str">
        <f aca="false">IF(A655="","",SUMIFS(Transactions!$C:$C,Transactions!$A:$A,"&lt;="&amp;A655,Transactions!$B:$B,Settings!$B$1)+SUMIFS(Transactions!$F:$F,Transactions!$A:$A,"&lt;="&amp;A655,Transactions!$B:$B,Settings!$B$1))</f>
        <v/>
      </c>
      <c r="F655" s="14" t="str">
        <f aca="false">IF(A655="","",IF(C655="","",D655*B655*C655))</f>
        <v/>
      </c>
      <c r="G655" s="14" t="str">
        <f aca="false">IF(F655="","",F655-E655)</f>
        <v/>
      </c>
      <c r="H655" s="14" t="str">
        <f aca="false">IF(F655="","",IFERROR(F655-F654-(E655-E654),0))</f>
        <v/>
      </c>
    </row>
    <row r="656" customFormat="false" ht="15" hidden="false" customHeight="false" outlineLevel="0" collapsed="false">
      <c r="A656" s="13" t="str">
        <f aca="false">IF(Prices!A656="","",Prices!A656)</f>
        <v/>
      </c>
      <c r="B656" s="14" t="str">
        <f aca="false">IF(A656="","",Prices!C656)</f>
        <v/>
      </c>
      <c r="C656" s="15" t="str">
        <f aca="false">IF(A656="","",IFERROR(INDEX(FX!$B:$B,MATCH(A656,FX!$A:$A,1)),""))</f>
        <v/>
      </c>
      <c r="D656" s="14" t="str">
        <f aca="false">IF(A656="","",SUMIFS(Transactions!$D:$D,Transactions!$A:$A,"&lt;="&amp;A656,Transactions!$B:$B,Settings!$B$1))</f>
        <v/>
      </c>
      <c r="E656" s="14" t="str">
        <f aca="false">IF(A656="","",SUMIFS(Transactions!$C:$C,Transactions!$A:$A,"&lt;="&amp;A656,Transactions!$B:$B,Settings!$B$1)+SUMIFS(Transactions!$F:$F,Transactions!$A:$A,"&lt;="&amp;A656,Transactions!$B:$B,Settings!$B$1))</f>
        <v/>
      </c>
      <c r="F656" s="14" t="str">
        <f aca="false">IF(A656="","",IF(C656="","",D656*B656*C656))</f>
        <v/>
      </c>
      <c r="G656" s="14" t="str">
        <f aca="false">IF(F656="","",F656-E656)</f>
        <v/>
      </c>
      <c r="H656" s="14" t="str">
        <f aca="false">IF(F656="","",IFERROR(F656-F655-(E656-E655),0))</f>
        <v/>
      </c>
    </row>
    <row r="657" customFormat="false" ht="15" hidden="false" customHeight="false" outlineLevel="0" collapsed="false">
      <c r="A657" s="13" t="str">
        <f aca="false">IF(Prices!A657="","",Prices!A657)</f>
        <v/>
      </c>
      <c r="B657" s="14" t="str">
        <f aca="false">IF(A657="","",Prices!C657)</f>
        <v/>
      </c>
      <c r="C657" s="15" t="str">
        <f aca="false">IF(A657="","",IFERROR(INDEX(FX!$B:$B,MATCH(A657,FX!$A:$A,1)),""))</f>
        <v/>
      </c>
      <c r="D657" s="14" t="str">
        <f aca="false">IF(A657="","",SUMIFS(Transactions!$D:$D,Transactions!$A:$A,"&lt;="&amp;A657,Transactions!$B:$B,Settings!$B$1))</f>
        <v/>
      </c>
      <c r="E657" s="14" t="str">
        <f aca="false">IF(A657="","",SUMIFS(Transactions!$C:$C,Transactions!$A:$A,"&lt;="&amp;A657,Transactions!$B:$B,Settings!$B$1)+SUMIFS(Transactions!$F:$F,Transactions!$A:$A,"&lt;="&amp;A657,Transactions!$B:$B,Settings!$B$1))</f>
        <v/>
      </c>
      <c r="F657" s="14" t="str">
        <f aca="false">IF(A657="","",IF(C657="","",D657*B657*C657))</f>
        <v/>
      </c>
      <c r="G657" s="14" t="str">
        <f aca="false">IF(F657="","",F657-E657)</f>
        <v/>
      </c>
      <c r="H657" s="14" t="str">
        <f aca="false">IF(F657="","",IFERROR(F657-F656-(E657-E656),0))</f>
        <v/>
      </c>
    </row>
    <row r="658" customFormat="false" ht="15" hidden="false" customHeight="false" outlineLevel="0" collapsed="false">
      <c r="A658" s="13" t="str">
        <f aca="false">IF(Prices!A658="","",Prices!A658)</f>
        <v/>
      </c>
      <c r="B658" s="14" t="str">
        <f aca="false">IF(A658="","",Prices!C658)</f>
        <v/>
      </c>
      <c r="C658" s="15" t="str">
        <f aca="false">IF(A658="","",IFERROR(INDEX(FX!$B:$B,MATCH(A658,FX!$A:$A,1)),""))</f>
        <v/>
      </c>
      <c r="D658" s="14" t="str">
        <f aca="false">IF(A658="","",SUMIFS(Transactions!$D:$D,Transactions!$A:$A,"&lt;="&amp;A658,Transactions!$B:$B,Settings!$B$1))</f>
        <v/>
      </c>
      <c r="E658" s="14" t="str">
        <f aca="false">IF(A658="","",SUMIFS(Transactions!$C:$C,Transactions!$A:$A,"&lt;="&amp;A658,Transactions!$B:$B,Settings!$B$1)+SUMIFS(Transactions!$F:$F,Transactions!$A:$A,"&lt;="&amp;A658,Transactions!$B:$B,Settings!$B$1))</f>
        <v/>
      </c>
      <c r="F658" s="14" t="str">
        <f aca="false">IF(A658="","",IF(C658="","",D658*B658*C658))</f>
        <v/>
      </c>
      <c r="G658" s="14" t="str">
        <f aca="false">IF(F658="","",F658-E658)</f>
        <v/>
      </c>
      <c r="H658" s="14" t="str">
        <f aca="false">IF(F658="","",IFERROR(F658-F657-(E658-E657),0))</f>
        <v/>
      </c>
    </row>
    <row r="659" customFormat="false" ht="15" hidden="false" customHeight="false" outlineLevel="0" collapsed="false">
      <c r="A659" s="13" t="str">
        <f aca="false">IF(Prices!A659="","",Prices!A659)</f>
        <v/>
      </c>
      <c r="B659" s="14" t="str">
        <f aca="false">IF(A659="","",Prices!C659)</f>
        <v/>
      </c>
      <c r="C659" s="15" t="str">
        <f aca="false">IF(A659="","",IFERROR(INDEX(FX!$B:$B,MATCH(A659,FX!$A:$A,1)),""))</f>
        <v/>
      </c>
      <c r="D659" s="14" t="str">
        <f aca="false">IF(A659="","",SUMIFS(Transactions!$D:$D,Transactions!$A:$A,"&lt;="&amp;A659,Transactions!$B:$B,Settings!$B$1))</f>
        <v/>
      </c>
      <c r="E659" s="14" t="str">
        <f aca="false">IF(A659="","",SUMIFS(Transactions!$C:$C,Transactions!$A:$A,"&lt;="&amp;A659,Transactions!$B:$B,Settings!$B$1)+SUMIFS(Transactions!$F:$F,Transactions!$A:$A,"&lt;="&amp;A659,Transactions!$B:$B,Settings!$B$1))</f>
        <v/>
      </c>
      <c r="F659" s="14" t="str">
        <f aca="false">IF(A659="","",IF(C659="","",D659*B659*C659))</f>
        <v/>
      </c>
      <c r="G659" s="14" t="str">
        <f aca="false">IF(F659="","",F659-E659)</f>
        <v/>
      </c>
      <c r="H659" s="14" t="str">
        <f aca="false">IF(F659="","",IFERROR(F659-F658-(E659-E658),0))</f>
        <v/>
      </c>
    </row>
    <row r="660" customFormat="false" ht="15" hidden="false" customHeight="false" outlineLevel="0" collapsed="false">
      <c r="A660" s="13" t="str">
        <f aca="false">IF(Prices!A660="","",Prices!A660)</f>
        <v/>
      </c>
      <c r="B660" s="14" t="str">
        <f aca="false">IF(A660="","",Prices!C660)</f>
        <v/>
      </c>
      <c r="C660" s="15" t="str">
        <f aca="false">IF(A660="","",IFERROR(INDEX(FX!$B:$B,MATCH(A660,FX!$A:$A,1)),""))</f>
        <v/>
      </c>
      <c r="D660" s="14" t="str">
        <f aca="false">IF(A660="","",SUMIFS(Transactions!$D:$D,Transactions!$A:$A,"&lt;="&amp;A660,Transactions!$B:$B,Settings!$B$1))</f>
        <v/>
      </c>
      <c r="E660" s="14" t="str">
        <f aca="false">IF(A660="","",SUMIFS(Transactions!$C:$C,Transactions!$A:$A,"&lt;="&amp;A660,Transactions!$B:$B,Settings!$B$1)+SUMIFS(Transactions!$F:$F,Transactions!$A:$A,"&lt;="&amp;A660,Transactions!$B:$B,Settings!$B$1))</f>
        <v/>
      </c>
      <c r="F660" s="14" t="str">
        <f aca="false">IF(A660="","",IF(C660="","",D660*B660*C660))</f>
        <v/>
      </c>
      <c r="G660" s="14" t="str">
        <f aca="false">IF(F660="","",F660-E660)</f>
        <v/>
      </c>
      <c r="H660" s="14" t="str">
        <f aca="false">IF(F660="","",IFERROR(F660-F659-(E660-E659),0))</f>
        <v/>
      </c>
    </row>
    <row r="661" customFormat="false" ht="15" hidden="false" customHeight="false" outlineLevel="0" collapsed="false">
      <c r="A661" s="13" t="str">
        <f aca="false">IF(Prices!A661="","",Prices!A661)</f>
        <v/>
      </c>
      <c r="B661" s="14" t="str">
        <f aca="false">IF(A661="","",Prices!C661)</f>
        <v/>
      </c>
      <c r="C661" s="15" t="str">
        <f aca="false">IF(A661="","",IFERROR(INDEX(FX!$B:$B,MATCH(A661,FX!$A:$A,1)),""))</f>
        <v/>
      </c>
      <c r="D661" s="14" t="str">
        <f aca="false">IF(A661="","",SUMIFS(Transactions!$D:$D,Transactions!$A:$A,"&lt;="&amp;A661,Transactions!$B:$B,Settings!$B$1))</f>
        <v/>
      </c>
      <c r="E661" s="14" t="str">
        <f aca="false">IF(A661="","",SUMIFS(Transactions!$C:$C,Transactions!$A:$A,"&lt;="&amp;A661,Transactions!$B:$B,Settings!$B$1)+SUMIFS(Transactions!$F:$F,Transactions!$A:$A,"&lt;="&amp;A661,Transactions!$B:$B,Settings!$B$1))</f>
        <v/>
      </c>
      <c r="F661" s="14" t="str">
        <f aca="false">IF(A661="","",IF(C661="","",D661*B661*C661))</f>
        <v/>
      </c>
      <c r="G661" s="14" t="str">
        <f aca="false">IF(F661="","",F661-E661)</f>
        <v/>
      </c>
      <c r="H661" s="14" t="str">
        <f aca="false">IF(F661="","",IFERROR(F661-F660-(E661-E660),0))</f>
        <v/>
      </c>
    </row>
    <row r="662" customFormat="false" ht="15" hidden="false" customHeight="false" outlineLevel="0" collapsed="false">
      <c r="A662" s="13" t="str">
        <f aca="false">IF(Prices!A662="","",Prices!A662)</f>
        <v/>
      </c>
      <c r="B662" s="14" t="str">
        <f aca="false">IF(A662="","",Prices!C662)</f>
        <v/>
      </c>
      <c r="C662" s="15" t="str">
        <f aca="false">IF(A662="","",IFERROR(INDEX(FX!$B:$B,MATCH(A662,FX!$A:$A,1)),""))</f>
        <v/>
      </c>
      <c r="D662" s="14" t="str">
        <f aca="false">IF(A662="","",SUMIFS(Transactions!$D:$D,Transactions!$A:$A,"&lt;="&amp;A662,Transactions!$B:$B,Settings!$B$1))</f>
        <v/>
      </c>
      <c r="E662" s="14" t="str">
        <f aca="false">IF(A662="","",SUMIFS(Transactions!$C:$C,Transactions!$A:$A,"&lt;="&amp;A662,Transactions!$B:$B,Settings!$B$1)+SUMIFS(Transactions!$F:$F,Transactions!$A:$A,"&lt;="&amp;A662,Transactions!$B:$B,Settings!$B$1))</f>
        <v/>
      </c>
      <c r="F662" s="14" t="str">
        <f aca="false">IF(A662="","",IF(C662="","",D662*B662*C662))</f>
        <v/>
      </c>
      <c r="G662" s="14" t="str">
        <f aca="false">IF(F662="","",F662-E662)</f>
        <v/>
      </c>
      <c r="H662" s="14" t="str">
        <f aca="false">IF(F662="","",IFERROR(F662-F661-(E662-E661),0))</f>
        <v/>
      </c>
    </row>
    <row r="663" customFormat="false" ht="15" hidden="false" customHeight="false" outlineLevel="0" collapsed="false">
      <c r="A663" s="13" t="str">
        <f aca="false">IF(Prices!A663="","",Prices!A663)</f>
        <v/>
      </c>
      <c r="B663" s="14" t="str">
        <f aca="false">IF(A663="","",Prices!C663)</f>
        <v/>
      </c>
      <c r="C663" s="15" t="str">
        <f aca="false">IF(A663="","",IFERROR(INDEX(FX!$B:$B,MATCH(A663,FX!$A:$A,1)),""))</f>
        <v/>
      </c>
      <c r="D663" s="14" t="str">
        <f aca="false">IF(A663="","",SUMIFS(Transactions!$D:$D,Transactions!$A:$A,"&lt;="&amp;A663,Transactions!$B:$B,Settings!$B$1))</f>
        <v/>
      </c>
      <c r="E663" s="14" t="str">
        <f aca="false">IF(A663="","",SUMIFS(Transactions!$C:$C,Transactions!$A:$A,"&lt;="&amp;A663,Transactions!$B:$B,Settings!$B$1)+SUMIFS(Transactions!$F:$F,Transactions!$A:$A,"&lt;="&amp;A663,Transactions!$B:$B,Settings!$B$1))</f>
        <v/>
      </c>
      <c r="F663" s="14" t="str">
        <f aca="false">IF(A663="","",IF(C663="","",D663*B663*C663))</f>
        <v/>
      </c>
      <c r="G663" s="14" t="str">
        <f aca="false">IF(F663="","",F663-E663)</f>
        <v/>
      </c>
      <c r="H663" s="14" t="str">
        <f aca="false">IF(F663="","",IFERROR(F663-F662-(E663-E662),0))</f>
        <v/>
      </c>
    </row>
    <row r="664" customFormat="false" ht="15" hidden="false" customHeight="false" outlineLevel="0" collapsed="false">
      <c r="A664" s="13" t="str">
        <f aca="false">IF(Prices!A664="","",Prices!A664)</f>
        <v/>
      </c>
      <c r="B664" s="14" t="str">
        <f aca="false">IF(A664="","",Prices!C664)</f>
        <v/>
      </c>
      <c r="C664" s="15" t="str">
        <f aca="false">IF(A664="","",IFERROR(INDEX(FX!$B:$B,MATCH(A664,FX!$A:$A,1)),""))</f>
        <v/>
      </c>
      <c r="D664" s="14" t="str">
        <f aca="false">IF(A664="","",SUMIFS(Transactions!$D:$D,Transactions!$A:$A,"&lt;="&amp;A664,Transactions!$B:$B,Settings!$B$1))</f>
        <v/>
      </c>
      <c r="E664" s="14" t="str">
        <f aca="false">IF(A664="","",SUMIFS(Transactions!$C:$C,Transactions!$A:$A,"&lt;="&amp;A664,Transactions!$B:$B,Settings!$B$1)+SUMIFS(Transactions!$F:$F,Transactions!$A:$A,"&lt;="&amp;A664,Transactions!$B:$B,Settings!$B$1))</f>
        <v/>
      </c>
      <c r="F664" s="14" t="str">
        <f aca="false">IF(A664="","",IF(C664="","",D664*B664*C664))</f>
        <v/>
      </c>
      <c r="G664" s="14" t="str">
        <f aca="false">IF(F664="","",F664-E664)</f>
        <v/>
      </c>
      <c r="H664" s="14" t="str">
        <f aca="false">IF(F664="","",IFERROR(F664-F663-(E664-E663),0))</f>
        <v/>
      </c>
    </row>
    <row r="665" customFormat="false" ht="15" hidden="false" customHeight="false" outlineLevel="0" collapsed="false">
      <c r="A665" s="13" t="str">
        <f aca="false">IF(Prices!A665="","",Prices!A665)</f>
        <v/>
      </c>
      <c r="B665" s="14" t="str">
        <f aca="false">IF(A665="","",Prices!C665)</f>
        <v/>
      </c>
      <c r="C665" s="15" t="str">
        <f aca="false">IF(A665="","",IFERROR(INDEX(FX!$B:$B,MATCH(A665,FX!$A:$A,1)),""))</f>
        <v/>
      </c>
      <c r="D665" s="14" t="str">
        <f aca="false">IF(A665="","",SUMIFS(Transactions!$D:$D,Transactions!$A:$A,"&lt;="&amp;A665,Transactions!$B:$B,Settings!$B$1))</f>
        <v/>
      </c>
      <c r="E665" s="14" t="str">
        <f aca="false">IF(A665="","",SUMIFS(Transactions!$C:$C,Transactions!$A:$A,"&lt;="&amp;A665,Transactions!$B:$B,Settings!$B$1)+SUMIFS(Transactions!$F:$F,Transactions!$A:$A,"&lt;="&amp;A665,Transactions!$B:$B,Settings!$B$1))</f>
        <v/>
      </c>
      <c r="F665" s="14" t="str">
        <f aca="false">IF(A665="","",IF(C665="","",D665*B665*C665))</f>
        <v/>
      </c>
      <c r="G665" s="14" t="str">
        <f aca="false">IF(F665="","",F665-E665)</f>
        <v/>
      </c>
      <c r="H665" s="14" t="str">
        <f aca="false">IF(F665="","",IFERROR(F665-F664-(E665-E664),0))</f>
        <v/>
      </c>
    </row>
    <row r="666" customFormat="false" ht="15" hidden="false" customHeight="false" outlineLevel="0" collapsed="false">
      <c r="A666" s="13" t="str">
        <f aca="false">IF(Prices!A666="","",Prices!A666)</f>
        <v/>
      </c>
      <c r="B666" s="14" t="str">
        <f aca="false">IF(A666="","",Prices!C666)</f>
        <v/>
      </c>
      <c r="C666" s="15" t="str">
        <f aca="false">IF(A666="","",IFERROR(INDEX(FX!$B:$B,MATCH(A666,FX!$A:$A,1)),""))</f>
        <v/>
      </c>
      <c r="D666" s="14" t="str">
        <f aca="false">IF(A666="","",SUMIFS(Transactions!$D:$D,Transactions!$A:$A,"&lt;="&amp;A666,Transactions!$B:$B,Settings!$B$1))</f>
        <v/>
      </c>
      <c r="E666" s="14" t="str">
        <f aca="false">IF(A666="","",SUMIFS(Transactions!$C:$C,Transactions!$A:$A,"&lt;="&amp;A666,Transactions!$B:$B,Settings!$B$1)+SUMIFS(Transactions!$F:$F,Transactions!$A:$A,"&lt;="&amp;A666,Transactions!$B:$B,Settings!$B$1))</f>
        <v/>
      </c>
      <c r="F666" s="14" t="str">
        <f aca="false">IF(A666="","",IF(C666="","",D666*B666*C666))</f>
        <v/>
      </c>
      <c r="G666" s="14" t="str">
        <f aca="false">IF(F666="","",F666-E666)</f>
        <v/>
      </c>
      <c r="H666" s="14" t="str">
        <f aca="false">IF(F666="","",IFERROR(F666-F665-(E666-E665),0))</f>
        <v/>
      </c>
    </row>
    <row r="667" customFormat="false" ht="15" hidden="false" customHeight="false" outlineLevel="0" collapsed="false">
      <c r="A667" s="13" t="str">
        <f aca="false">IF(Prices!A667="","",Prices!A667)</f>
        <v/>
      </c>
      <c r="B667" s="14" t="str">
        <f aca="false">IF(A667="","",Prices!C667)</f>
        <v/>
      </c>
      <c r="C667" s="15" t="str">
        <f aca="false">IF(A667="","",IFERROR(INDEX(FX!$B:$B,MATCH(A667,FX!$A:$A,1)),""))</f>
        <v/>
      </c>
      <c r="D667" s="14" t="str">
        <f aca="false">IF(A667="","",SUMIFS(Transactions!$D:$D,Transactions!$A:$A,"&lt;="&amp;A667,Transactions!$B:$B,Settings!$B$1))</f>
        <v/>
      </c>
      <c r="E667" s="14" t="str">
        <f aca="false">IF(A667="","",SUMIFS(Transactions!$C:$C,Transactions!$A:$A,"&lt;="&amp;A667,Transactions!$B:$B,Settings!$B$1)+SUMIFS(Transactions!$F:$F,Transactions!$A:$A,"&lt;="&amp;A667,Transactions!$B:$B,Settings!$B$1))</f>
        <v/>
      </c>
      <c r="F667" s="14" t="str">
        <f aca="false">IF(A667="","",IF(C667="","",D667*B667*C667))</f>
        <v/>
      </c>
      <c r="G667" s="14" t="str">
        <f aca="false">IF(F667="","",F667-E667)</f>
        <v/>
      </c>
      <c r="H667" s="14" t="str">
        <f aca="false">IF(F667="","",IFERROR(F667-F666-(E667-E666),0))</f>
        <v/>
      </c>
    </row>
    <row r="668" customFormat="false" ht="15" hidden="false" customHeight="false" outlineLevel="0" collapsed="false">
      <c r="A668" s="13" t="str">
        <f aca="false">IF(Prices!A668="","",Prices!A668)</f>
        <v/>
      </c>
      <c r="B668" s="14" t="str">
        <f aca="false">IF(A668="","",Prices!C668)</f>
        <v/>
      </c>
      <c r="C668" s="15" t="str">
        <f aca="false">IF(A668="","",IFERROR(INDEX(FX!$B:$B,MATCH(A668,FX!$A:$A,1)),""))</f>
        <v/>
      </c>
      <c r="D668" s="14" t="str">
        <f aca="false">IF(A668="","",SUMIFS(Transactions!$D:$D,Transactions!$A:$A,"&lt;="&amp;A668,Transactions!$B:$B,Settings!$B$1))</f>
        <v/>
      </c>
      <c r="E668" s="14" t="str">
        <f aca="false">IF(A668="","",SUMIFS(Transactions!$C:$C,Transactions!$A:$A,"&lt;="&amp;A668,Transactions!$B:$B,Settings!$B$1)+SUMIFS(Transactions!$F:$F,Transactions!$A:$A,"&lt;="&amp;A668,Transactions!$B:$B,Settings!$B$1))</f>
        <v/>
      </c>
      <c r="F668" s="14" t="str">
        <f aca="false">IF(A668="","",IF(C668="","",D668*B668*C668))</f>
        <v/>
      </c>
      <c r="G668" s="14" t="str">
        <f aca="false">IF(F668="","",F668-E668)</f>
        <v/>
      </c>
      <c r="H668" s="14" t="str">
        <f aca="false">IF(F668="","",IFERROR(F668-F667-(E668-E667),0))</f>
        <v/>
      </c>
    </row>
    <row r="669" customFormat="false" ht="15" hidden="false" customHeight="false" outlineLevel="0" collapsed="false">
      <c r="A669" s="13" t="str">
        <f aca="false">IF(Prices!A669="","",Prices!A669)</f>
        <v/>
      </c>
      <c r="B669" s="14" t="str">
        <f aca="false">IF(A669="","",Prices!C669)</f>
        <v/>
      </c>
      <c r="C669" s="15" t="str">
        <f aca="false">IF(A669="","",IFERROR(INDEX(FX!$B:$B,MATCH(A669,FX!$A:$A,1)),""))</f>
        <v/>
      </c>
      <c r="D669" s="14" t="str">
        <f aca="false">IF(A669="","",SUMIFS(Transactions!$D:$D,Transactions!$A:$A,"&lt;="&amp;A669,Transactions!$B:$B,Settings!$B$1))</f>
        <v/>
      </c>
      <c r="E669" s="14" t="str">
        <f aca="false">IF(A669="","",SUMIFS(Transactions!$C:$C,Transactions!$A:$A,"&lt;="&amp;A669,Transactions!$B:$B,Settings!$B$1)+SUMIFS(Transactions!$F:$F,Transactions!$A:$A,"&lt;="&amp;A669,Transactions!$B:$B,Settings!$B$1))</f>
        <v/>
      </c>
      <c r="F669" s="14" t="str">
        <f aca="false">IF(A669="","",IF(C669="","",D669*B669*C669))</f>
        <v/>
      </c>
      <c r="G669" s="14" t="str">
        <f aca="false">IF(F669="","",F669-E669)</f>
        <v/>
      </c>
      <c r="H669" s="14" t="str">
        <f aca="false">IF(F669="","",IFERROR(F669-F668-(E669-E668),0))</f>
        <v/>
      </c>
    </row>
    <row r="670" customFormat="false" ht="15" hidden="false" customHeight="false" outlineLevel="0" collapsed="false">
      <c r="A670" s="13" t="str">
        <f aca="false">IF(Prices!A670="","",Prices!A670)</f>
        <v/>
      </c>
      <c r="B670" s="14" t="str">
        <f aca="false">IF(A670="","",Prices!C670)</f>
        <v/>
      </c>
      <c r="C670" s="15" t="str">
        <f aca="false">IF(A670="","",IFERROR(INDEX(FX!$B:$B,MATCH(A670,FX!$A:$A,1)),""))</f>
        <v/>
      </c>
      <c r="D670" s="14" t="str">
        <f aca="false">IF(A670="","",SUMIFS(Transactions!$D:$D,Transactions!$A:$A,"&lt;="&amp;A670,Transactions!$B:$B,Settings!$B$1))</f>
        <v/>
      </c>
      <c r="E670" s="14" t="str">
        <f aca="false">IF(A670="","",SUMIFS(Transactions!$C:$C,Transactions!$A:$A,"&lt;="&amp;A670,Transactions!$B:$B,Settings!$B$1)+SUMIFS(Transactions!$F:$F,Transactions!$A:$A,"&lt;="&amp;A670,Transactions!$B:$B,Settings!$B$1))</f>
        <v/>
      </c>
      <c r="F670" s="14" t="str">
        <f aca="false">IF(A670="","",IF(C670="","",D670*B670*C670))</f>
        <v/>
      </c>
      <c r="G670" s="14" t="str">
        <f aca="false">IF(F670="","",F670-E670)</f>
        <v/>
      </c>
      <c r="H670" s="14" t="str">
        <f aca="false">IF(F670="","",IFERROR(F670-F669-(E670-E669),0))</f>
        <v/>
      </c>
    </row>
    <row r="671" customFormat="false" ht="15" hidden="false" customHeight="false" outlineLevel="0" collapsed="false">
      <c r="A671" s="13" t="str">
        <f aca="false">IF(Prices!A671="","",Prices!A671)</f>
        <v/>
      </c>
      <c r="B671" s="14" t="str">
        <f aca="false">IF(A671="","",Prices!C671)</f>
        <v/>
      </c>
      <c r="C671" s="15" t="str">
        <f aca="false">IF(A671="","",IFERROR(INDEX(FX!$B:$B,MATCH(A671,FX!$A:$A,1)),""))</f>
        <v/>
      </c>
      <c r="D671" s="14" t="str">
        <f aca="false">IF(A671="","",SUMIFS(Transactions!$D:$D,Transactions!$A:$A,"&lt;="&amp;A671,Transactions!$B:$B,Settings!$B$1))</f>
        <v/>
      </c>
      <c r="E671" s="14" t="str">
        <f aca="false">IF(A671="","",SUMIFS(Transactions!$C:$C,Transactions!$A:$A,"&lt;="&amp;A671,Transactions!$B:$B,Settings!$B$1)+SUMIFS(Transactions!$F:$F,Transactions!$A:$A,"&lt;="&amp;A671,Transactions!$B:$B,Settings!$B$1))</f>
        <v/>
      </c>
      <c r="F671" s="14" t="str">
        <f aca="false">IF(A671="","",IF(C671="","",D671*B671*C671))</f>
        <v/>
      </c>
      <c r="G671" s="14" t="str">
        <f aca="false">IF(F671="","",F671-E671)</f>
        <v/>
      </c>
      <c r="H671" s="14" t="str">
        <f aca="false">IF(F671="","",IFERROR(F671-F670-(E671-E670),0))</f>
        <v/>
      </c>
    </row>
    <row r="672" customFormat="false" ht="15" hidden="false" customHeight="false" outlineLevel="0" collapsed="false">
      <c r="A672" s="13" t="str">
        <f aca="false">IF(Prices!A672="","",Prices!A672)</f>
        <v/>
      </c>
      <c r="B672" s="14" t="str">
        <f aca="false">IF(A672="","",Prices!C672)</f>
        <v/>
      </c>
      <c r="C672" s="15" t="str">
        <f aca="false">IF(A672="","",IFERROR(INDEX(FX!$B:$B,MATCH(A672,FX!$A:$A,1)),""))</f>
        <v/>
      </c>
      <c r="D672" s="14" t="str">
        <f aca="false">IF(A672="","",SUMIFS(Transactions!$D:$D,Transactions!$A:$A,"&lt;="&amp;A672,Transactions!$B:$B,Settings!$B$1))</f>
        <v/>
      </c>
      <c r="E672" s="14" t="str">
        <f aca="false">IF(A672="","",SUMIFS(Transactions!$C:$C,Transactions!$A:$A,"&lt;="&amp;A672,Transactions!$B:$B,Settings!$B$1)+SUMIFS(Transactions!$F:$F,Transactions!$A:$A,"&lt;="&amp;A672,Transactions!$B:$B,Settings!$B$1))</f>
        <v/>
      </c>
      <c r="F672" s="14" t="str">
        <f aca="false">IF(A672="","",IF(C672="","",D672*B672*C672))</f>
        <v/>
      </c>
      <c r="G672" s="14" t="str">
        <f aca="false">IF(F672="","",F672-E672)</f>
        <v/>
      </c>
      <c r="H672" s="14" t="str">
        <f aca="false">IF(F672="","",IFERROR(F672-F671-(E672-E671),0))</f>
        <v/>
      </c>
    </row>
    <row r="673" customFormat="false" ht="15" hidden="false" customHeight="false" outlineLevel="0" collapsed="false">
      <c r="A673" s="13" t="str">
        <f aca="false">IF(Prices!A673="","",Prices!A673)</f>
        <v/>
      </c>
      <c r="B673" s="14" t="str">
        <f aca="false">IF(A673="","",Prices!C673)</f>
        <v/>
      </c>
      <c r="C673" s="15" t="str">
        <f aca="false">IF(A673="","",IFERROR(INDEX(FX!$B:$B,MATCH(A673,FX!$A:$A,1)),""))</f>
        <v/>
      </c>
      <c r="D673" s="14" t="str">
        <f aca="false">IF(A673="","",SUMIFS(Transactions!$D:$D,Transactions!$A:$A,"&lt;="&amp;A673,Transactions!$B:$B,Settings!$B$1))</f>
        <v/>
      </c>
      <c r="E673" s="14" t="str">
        <f aca="false">IF(A673="","",SUMIFS(Transactions!$C:$C,Transactions!$A:$A,"&lt;="&amp;A673,Transactions!$B:$B,Settings!$B$1)+SUMIFS(Transactions!$F:$F,Transactions!$A:$A,"&lt;="&amp;A673,Transactions!$B:$B,Settings!$B$1))</f>
        <v/>
      </c>
      <c r="F673" s="14" t="str">
        <f aca="false">IF(A673="","",IF(C673="","",D673*B673*C673))</f>
        <v/>
      </c>
      <c r="G673" s="14" t="str">
        <f aca="false">IF(F673="","",F673-E673)</f>
        <v/>
      </c>
      <c r="H673" s="14" t="str">
        <f aca="false">IF(F673="","",IFERROR(F673-F672-(E673-E672),0))</f>
        <v/>
      </c>
    </row>
    <row r="674" customFormat="false" ht="15" hidden="false" customHeight="false" outlineLevel="0" collapsed="false">
      <c r="A674" s="13" t="str">
        <f aca="false">IF(Prices!A674="","",Prices!A674)</f>
        <v/>
      </c>
      <c r="B674" s="14" t="str">
        <f aca="false">IF(A674="","",Prices!C674)</f>
        <v/>
      </c>
      <c r="C674" s="15" t="str">
        <f aca="false">IF(A674="","",IFERROR(INDEX(FX!$B:$B,MATCH(A674,FX!$A:$A,1)),""))</f>
        <v/>
      </c>
      <c r="D674" s="14" t="str">
        <f aca="false">IF(A674="","",SUMIFS(Transactions!$D:$D,Transactions!$A:$A,"&lt;="&amp;A674,Transactions!$B:$B,Settings!$B$1))</f>
        <v/>
      </c>
      <c r="E674" s="14" t="str">
        <f aca="false">IF(A674="","",SUMIFS(Transactions!$C:$C,Transactions!$A:$A,"&lt;="&amp;A674,Transactions!$B:$B,Settings!$B$1)+SUMIFS(Transactions!$F:$F,Transactions!$A:$A,"&lt;="&amp;A674,Transactions!$B:$B,Settings!$B$1))</f>
        <v/>
      </c>
      <c r="F674" s="14" t="str">
        <f aca="false">IF(A674="","",IF(C674="","",D674*B674*C674))</f>
        <v/>
      </c>
      <c r="G674" s="14" t="str">
        <f aca="false">IF(F674="","",F674-E674)</f>
        <v/>
      </c>
      <c r="H674" s="14" t="str">
        <f aca="false">IF(F674="","",IFERROR(F674-F673-(E674-E673),0))</f>
        <v/>
      </c>
    </row>
    <row r="675" customFormat="false" ht="15" hidden="false" customHeight="false" outlineLevel="0" collapsed="false">
      <c r="A675" s="13" t="str">
        <f aca="false">IF(Prices!A675="","",Prices!A675)</f>
        <v/>
      </c>
      <c r="B675" s="14" t="str">
        <f aca="false">IF(A675="","",Prices!C675)</f>
        <v/>
      </c>
      <c r="C675" s="15" t="str">
        <f aca="false">IF(A675="","",IFERROR(INDEX(FX!$B:$B,MATCH(A675,FX!$A:$A,1)),""))</f>
        <v/>
      </c>
      <c r="D675" s="14" t="str">
        <f aca="false">IF(A675="","",SUMIFS(Transactions!$D:$D,Transactions!$A:$A,"&lt;="&amp;A675,Transactions!$B:$B,Settings!$B$1))</f>
        <v/>
      </c>
      <c r="E675" s="14" t="str">
        <f aca="false">IF(A675="","",SUMIFS(Transactions!$C:$C,Transactions!$A:$A,"&lt;="&amp;A675,Transactions!$B:$B,Settings!$B$1)+SUMIFS(Transactions!$F:$F,Transactions!$A:$A,"&lt;="&amp;A675,Transactions!$B:$B,Settings!$B$1))</f>
        <v/>
      </c>
      <c r="F675" s="14" t="str">
        <f aca="false">IF(A675="","",IF(C675="","",D675*B675*C675))</f>
        <v/>
      </c>
      <c r="G675" s="14" t="str">
        <f aca="false">IF(F675="","",F675-E675)</f>
        <v/>
      </c>
      <c r="H675" s="14" t="str">
        <f aca="false">IF(F675="","",IFERROR(F675-F674-(E675-E674),0))</f>
        <v/>
      </c>
    </row>
    <row r="676" customFormat="false" ht="15" hidden="false" customHeight="false" outlineLevel="0" collapsed="false">
      <c r="A676" s="13" t="str">
        <f aca="false">IF(Prices!A676="","",Prices!A676)</f>
        <v/>
      </c>
      <c r="B676" s="14" t="str">
        <f aca="false">IF(A676="","",Prices!C676)</f>
        <v/>
      </c>
      <c r="C676" s="15" t="str">
        <f aca="false">IF(A676="","",IFERROR(INDEX(FX!$B:$B,MATCH(A676,FX!$A:$A,1)),""))</f>
        <v/>
      </c>
      <c r="D676" s="14" t="str">
        <f aca="false">IF(A676="","",SUMIFS(Transactions!$D:$D,Transactions!$A:$A,"&lt;="&amp;A676,Transactions!$B:$B,Settings!$B$1))</f>
        <v/>
      </c>
      <c r="E676" s="14" t="str">
        <f aca="false">IF(A676="","",SUMIFS(Transactions!$C:$C,Transactions!$A:$A,"&lt;="&amp;A676,Transactions!$B:$B,Settings!$B$1)+SUMIFS(Transactions!$F:$F,Transactions!$A:$A,"&lt;="&amp;A676,Transactions!$B:$B,Settings!$B$1))</f>
        <v/>
      </c>
      <c r="F676" s="14" t="str">
        <f aca="false">IF(A676="","",IF(C676="","",D676*B676*C676))</f>
        <v/>
      </c>
      <c r="G676" s="14" t="str">
        <f aca="false">IF(F676="","",F676-E676)</f>
        <v/>
      </c>
      <c r="H676" s="14" t="str">
        <f aca="false">IF(F676="","",IFERROR(F676-F675-(E676-E675),0))</f>
        <v/>
      </c>
    </row>
    <row r="677" customFormat="false" ht="15" hidden="false" customHeight="false" outlineLevel="0" collapsed="false">
      <c r="A677" s="13" t="str">
        <f aca="false">IF(Prices!A677="","",Prices!A677)</f>
        <v/>
      </c>
      <c r="B677" s="14" t="str">
        <f aca="false">IF(A677="","",Prices!C677)</f>
        <v/>
      </c>
      <c r="C677" s="15" t="str">
        <f aca="false">IF(A677="","",IFERROR(INDEX(FX!$B:$B,MATCH(A677,FX!$A:$A,1)),""))</f>
        <v/>
      </c>
      <c r="D677" s="14" t="str">
        <f aca="false">IF(A677="","",SUMIFS(Transactions!$D:$D,Transactions!$A:$A,"&lt;="&amp;A677,Transactions!$B:$B,Settings!$B$1))</f>
        <v/>
      </c>
      <c r="E677" s="14" t="str">
        <f aca="false">IF(A677="","",SUMIFS(Transactions!$C:$C,Transactions!$A:$A,"&lt;="&amp;A677,Transactions!$B:$B,Settings!$B$1)+SUMIFS(Transactions!$F:$F,Transactions!$A:$A,"&lt;="&amp;A677,Transactions!$B:$B,Settings!$B$1))</f>
        <v/>
      </c>
      <c r="F677" s="14" t="str">
        <f aca="false">IF(A677="","",IF(C677="","",D677*B677*C677))</f>
        <v/>
      </c>
      <c r="G677" s="14" t="str">
        <f aca="false">IF(F677="","",F677-E677)</f>
        <v/>
      </c>
      <c r="H677" s="14" t="str">
        <f aca="false">IF(F677="","",IFERROR(F677-F676-(E677-E676),0))</f>
        <v/>
      </c>
    </row>
    <row r="678" customFormat="false" ht="15" hidden="false" customHeight="false" outlineLevel="0" collapsed="false">
      <c r="A678" s="13" t="str">
        <f aca="false">IF(Prices!A678="","",Prices!A678)</f>
        <v/>
      </c>
      <c r="B678" s="14" t="str">
        <f aca="false">IF(A678="","",Prices!C678)</f>
        <v/>
      </c>
      <c r="C678" s="15" t="str">
        <f aca="false">IF(A678="","",IFERROR(INDEX(FX!$B:$B,MATCH(A678,FX!$A:$A,1)),""))</f>
        <v/>
      </c>
      <c r="D678" s="14" t="str">
        <f aca="false">IF(A678="","",SUMIFS(Transactions!$D:$D,Transactions!$A:$A,"&lt;="&amp;A678,Transactions!$B:$B,Settings!$B$1))</f>
        <v/>
      </c>
      <c r="E678" s="14" t="str">
        <f aca="false">IF(A678="","",SUMIFS(Transactions!$C:$C,Transactions!$A:$A,"&lt;="&amp;A678,Transactions!$B:$B,Settings!$B$1)+SUMIFS(Transactions!$F:$F,Transactions!$A:$A,"&lt;="&amp;A678,Transactions!$B:$B,Settings!$B$1))</f>
        <v/>
      </c>
      <c r="F678" s="14" t="str">
        <f aca="false">IF(A678="","",IF(C678="","",D678*B678*C678))</f>
        <v/>
      </c>
      <c r="G678" s="14" t="str">
        <f aca="false">IF(F678="","",F678-E678)</f>
        <v/>
      </c>
      <c r="H678" s="14" t="str">
        <f aca="false">IF(F678="","",IFERROR(F678-F677-(E678-E677),0))</f>
        <v/>
      </c>
    </row>
    <row r="679" customFormat="false" ht="15" hidden="false" customHeight="false" outlineLevel="0" collapsed="false">
      <c r="A679" s="13" t="str">
        <f aca="false">IF(Prices!A679="","",Prices!A679)</f>
        <v/>
      </c>
      <c r="B679" s="14" t="str">
        <f aca="false">IF(A679="","",Prices!C679)</f>
        <v/>
      </c>
      <c r="C679" s="15" t="str">
        <f aca="false">IF(A679="","",IFERROR(INDEX(FX!$B:$B,MATCH(A679,FX!$A:$A,1)),""))</f>
        <v/>
      </c>
      <c r="D679" s="14" t="str">
        <f aca="false">IF(A679="","",SUMIFS(Transactions!$D:$D,Transactions!$A:$A,"&lt;="&amp;A679,Transactions!$B:$B,Settings!$B$1))</f>
        <v/>
      </c>
      <c r="E679" s="14" t="str">
        <f aca="false">IF(A679="","",SUMIFS(Transactions!$C:$C,Transactions!$A:$A,"&lt;="&amp;A679,Transactions!$B:$B,Settings!$B$1)+SUMIFS(Transactions!$F:$F,Transactions!$A:$A,"&lt;="&amp;A679,Transactions!$B:$B,Settings!$B$1))</f>
        <v/>
      </c>
      <c r="F679" s="14" t="str">
        <f aca="false">IF(A679="","",IF(C679="","",D679*B679*C679))</f>
        <v/>
      </c>
      <c r="G679" s="14" t="str">
        <f aca="false">IF(F679="","",F679-E679)</f>
        <v/>
      </c>
      <c r="H679" s="14" t="str">
        <f aca="false">IF(F679="","",IFERROR(F679-F678-(E679-E678),0))</f>
        <v/>
      </c>
    </row>
    <row r="680" customFormat="false" ht="15" hidden="false" customHeight="false" outlineLevel="0" collapsed="false">
      <c r="A680" s="13" t="str">
        <f aca="false">IF(Prices!A680="","",Prices!A680)</f>
        <v/>
      </c>
      <c r="B680" s="14" t="str">
        <f aca="false">IF(A680="","",Prices!C680)</f>
        <v/>
      </c>
      <c r="C680" s="15" t="str">
        <f aca="false">IF(A680="","",IFERROR(INDEX(FX!$B:$B,MATCH(A680,FX!$A:$A,1)),""))</f>
        <v/>
      </c>
      <c r="D680" s="14" t="str">
        <f aca="false">IF(A680="","",SUMIFS(Transactions!$D:$D,Transactions!$A:$A,"&lt;="&amp;A680,Transactions!$B:$B,Settings!$B$1))</f>
        <v/>
      </c>
      <c r="E680" s="14" t="str">
        <f aca="false">IF(A680="","",SUMIFS(Transactions!$C:$C,Transactions!$A:$A,"&lt;="&amp;A680,Transactions!$B:$B,Settings!$B$1)+SUMIFS(Transactions!$F:$F,Transactions!$A:$A,"&lt;="&amp;A680,Transactions!$B:$B,Settings!$B$1))</f>
        <v/>
      </c>
      <c r="F680" s="14" t="str">
        <f aca="false">IF(A680="","",IF(C680="","",D680*B680*C680))</f>
        <v/>
      </c>
      <c r="G680" s="14" t="str">
        <f aca="false">IF(F680="","",F680-E680)</f>
        <v/>
      </c>
      <c r="H680" s="14" t="str">
        <f aca="false">IF(F680="","",IFERROR(F680-F679-(E680-E679),0))</f>
        <v/>
      </c>
    </row>
    <row r="681" customFormat="false" ht="15" hidden="false" customHeight="false" outlineLevel="0" collapsed="false">
      <c r="A681" s="13" t="str">
        <f aca="false">IF(Prices!A681="","",Prices!A681)</f>
        <v/>
      </c>
      <c r="B681" s="14" t="str">
        <f aca="false">IF(A681="","",Prices!C681)</f>
        <v/>
      </c>
      <c r="C681" s="15" t="str">
        <f aca="false">IF(A681="","",IFERROR(INDEX(FX!$B:$B,MATCH(A681,FX!$A:$A,1)),""))</f>
        <v/>
      </c>
      <c r="D681" s="14" t="str">
        <f aca="false">IF(A681="","",SUMIFS(Transactions!$D:$D,Transactions!$A:$A,"&lt;="&amp;A681,Transactions!$B:$B,Settings!$B$1))</f>
        <v/>
      </c>
      <c r="E681" s="14" t="str">
        <f aca="false">IF(A681="","",SUMIFS(Transactions!$C:$C,Transactions!$A:$A,"&lt;="&amp;A681,Transactions!$B:$B,Settings!$B$1)+SUMIFS(Transactions!$F:$F,Transactions!$A:$A,"&lt;="&amp;A681,Transactions!$B:$B,Settings!$B$1))</f>
        <v/>
      </c>
      <c r="F681" s="14" t="str">
        <f aca="false">IF(A681="","",IF(C681="","",D681*B681*C681))</f>
        <v/>
      </c>
      <c r="G681" s="14" t="str">
        <f aca="false">IF(F681="","",F681-E681)</f>
        <v/>
      </c>
      <c r="H681" s="14" t="str">
        <f aca="false">IF(F681="","",IFERROR(F681-F680-(E681-E680),0))</f>
        <v/>
      </c>
    </row>
    <row r="682" customFormat="false" ht="15" hidden="false" customHeight="false" outlineLevel="0" collapsed="false">
      <c r="A682" s="13" t="str">
        <f aca="false">IF(Prices!A682="","",Prices!A682)</f>
        <v/>
      </c>
      <c r="B682" s="14" t="str">
        <f aca="false">IF(A682="","",Prices!C682)</f>
        <v/>
      </c>
      <c r="C682" s="15" t="str">
        <f aca="false">IF(A682="","",IFERROR(INDEX(FX!$B:$B,MATCH(A682,FX!$A:$A,1)),""))</f>
        <v/>
      </c>
      <c r="D682" s="14" t="str">
        <f aca="false">IF(A682="","",SUMIFS(Transactions!$D:$D,Transactions!$A:$A,"&lt;="&amp;A682,Transactions!$B:$B,Settings!$B$1))</f>
        <v/>
      </c>
      <c r="E682" s="14" t="str">
        <f aca="false">IF(A682="","",SUMIFS(Transactions!$C:$C,Transactions!$A:$A,"&lt;="&amp;A682,Transactions!$B:$B,Settings!$B$1)+SUMIFS(Transactions!$F:$F,Transactions!$A:$A,"&lt;="&amp;A682,Transactions!$B:$B,Settings!$B$1))</f>
        <v/>
      </c>
      <c r="F682" s="14" t="str">
        <f aca="false">IF(A682="","",IF(C682="","",D682*B682*C682))</f>
        <v/>
      </c>
      <c r="G682" s="14" t="str">
        <f aca="false">IF(F682="","",F682-E682)</f>
        <v/>
      </c>
      <c r="H682" s="14" t="str">
        <f aca="false">IF(F682="","",IFERROR(F682-F681-(E682-E681),0))</f>
        <v/>
      </c>
    </row>
    <row r="683" customFormat="false" ht="15" hidden="false" customHeight="false" outlineLevel="0" collapsed="false">
      <c r="A683" s="13" t="str">
        <f aca="false">IF(Prices!A683="","",Prices!A683)</f>
        <v/>
      </c>
      <c r="B683" s="14" t="str">
        <f aca="false">IF(A683="","",Prices!C683)</f>
        <v/>
      </c>
      <c r="C683" s="15" t="str">
        <f aca="false">IF(A683="","",IFERROR(INDEX(FX!$B:$B,MATCH(A683,FX!$A:$A,1)),""))</f>
        <v/>
      </c>
      <c r="D683" s="14" t="str">
        <f aca="false">IF(A683="","",SUMIFS(Transactions!$D:$D,Transactions!$A:$A,"&lt;="&amp;A683,Transactions!$B:$B,Settings!$B$1))</f>
        <v/>
      </c>
      <c r="E683" s="14" t="str">
        <f aca="false">IF(A683="","",SUMIFS(Transactions!$C:$C,Transactions!$A:$A,"&lt;="&amp;A683,Transactions!$B:$B,Settings!$B$1)+SUMIFS(Transactions!$F:$F,Transactions!$A:$A,"&lt;="&amp;A683,Transactions!$B:$B,Settings!$B$1))</f>
        <v/>
      </c>
      <c r="F683" s="14" t="str">
        <f aca="false">IF(A683="","",IF(C683="","",D683*B683*C683))</f>
        <v/>
      </c>
      <c r="G683" s="14" t="str">
        <f aca="false">IF(F683="","",F683-E683)</f>
        <v/>
      </c>
      <c r="H683" s="14" t="str">
        <f aca="false">IF(F683="","",IFERROR(F683-F682-(E683-E682),0))</f>
        <v/>
      </c>
    </row>
    <row r="684" customFormat="false" ht="15" hidden="false" customHeight="false" outlineLevel="0" collapsed="false">
      <c r="A684" s="13" t="str">
        <f aca="false">IF(Prices!A684="","",Prices!A684)</f>
        <v/>
      </c>
      <c r="B684" s="14" t="str">
        <f aca="false">IF(A684="","",Prices!C684)</f>
        <v/>
      </c>
      <c r="C684" s="15" t="str">
        <f aca="false">IF(A684="","",IFERROR(INDEX(FX!$B:$B,MATCH(A684,FX!$A:$A,1)),""))</f>
        <v/>
      </c>
      <c r="D684" s="14" t="str">
        <f aca="false">IF(A684="","",SUMIFS(Transactions!$D:$D,Transactions!$A:$A,"&lt;="&amp;A684,Transactions!$B:$B,Settings!$B$1))</f>
        <v/>
      </c>
      <c r="E684" s="14" t="str">
        <f aca="false">IF(A684="","",SUMIFS(Transactions!$C:$C,Transactions!$A:$A,"&lt;="&amp;A684,Transactions!$B:$B,Settings!$B$1)+SUMIFS(Transactions!$F:$F,Transactions!$A:$A,"&lt;="&amp;A684,Transactions!$B:$B,Settings!$B$1))</f>
        <v/>
      </c>
      <c r="F684" s="14" t="str">
        <f aca="false">IF(A684="","",IF(C684="","",D684*B684*C684))</f>
        <v/>
      </c>
      <c r="G684" s="14" t="str">
        <f aca="false">IF(F684="","",F684-E684)</f>
        <v/>
      </c>
      <c r="H684" s="14" t="str">
        <f aca="false">IF(F684="","",IFERROR(F684-F683-(E684-E683),0))</f>
        <v/>
      </c>
    </row>
    <row r="685" customFormat="false" ht="15" hidden="false" customHeight="false" outlineLevel="0" collapsed="false">
      <c r="A685" s="13" t="str">
        <f aca="false">IF(Prices!A685="","",Prices!A685)</f>
        <v/>
      </c>
      <c r="B685" s="14" t="str">
        <f aca="false">IF(A685="","",Prices!C685)</f>
        <v/>
      </c>
      <c r="C685" s="15" t="str">
        <f aca="false">IF(A685="","",IFERROR(INDEX(FX!$B:$B,MATCH(A685,FX!$A:$A,1)),""))</f>
        <v/>
      </c>
      <c r="D685" s="14" t="str">
        <f aca="false">IF(A685="","",SUMIFS(Transactions!$D:$D,Transactions!$A:$A,"&lt;="&amp;A685,Transactions!$B:$B,Settings!$B$1))</f>
        <v/>
      </c>
      <c r="E685" s="14" t="str">
        <f aca="false">IF(A685="","",SUMIFS(Transactions!$C:$C,Transactions!$A:$A,"&lt;="&amp;A685,Transactions!$B:$B,Settings!$B$1)+SUMIFS(Transactions!$F:$F,Transactions!$A:$A,"&lt;="&amp;A685,Transactions!$B:$B,Settings!$B$1))</f>
        <v/>
      </c>
      <c r="F685" s="14" t="str">
        <f aca="false">IF(A685="","",IF(C685="","",D685*B685*C685))</f>
        <v/>
      </c>
      <c r="G685" s="14" t="str">
        <f aca="false">IF(F685="","",F685-E685)</f>
        <v/>
      </c>
      <c r="H685" s="14" t="str">
        <f aca="false">IF(F685="","",IFERROR(F685-F684-(E685-E684),0))</f>
        <v/>
      </c>
    </row>
    <row r="686" customFormat="false" ht="15" hidden="false" customHeight="false" outlineLevel="0" collapsed="false">
      <c r="A686" s="13" t="str">
        <f aca="false">IF(Prices!A686="","",Prices!A686)</f>
        <v/>
      </c>
      <c r="B686" s="14" t="str">
        <f aca="false">IF(A686="","",Prices!C686)</f>
        <v/>
      </c>
      <c r="C686" s="15" t="str">
        <f aca="false">IF(A686="","",IFERROR(INDEX(FX!$B:$B,MATCH(A686,FX!$A:$A,1)),""))</f>
        <v/>
      </c>
      <c r="D686" s="14" t="str">
        <f aca="false">IF(A686="","",SUMIFS(Transactions!$D:$D,Transactions!$A:$A,"&lt;="&amp;A686,Transactions!$B:$B,Settings!$B$1))</f>
        <v/>
      </c>
      <c r="E686" s="14" t="str">
        <f aca="false">IF(A686="","",SUMIFS(Transactions!$C:$C,Transactions!$A:$A,"&lt;="&amp;A686,Transactions!$B:$B,Settings!$B$1)+SUMIFS(Transactions!$F:$F,Transactions!$A:$A,"&lt;="&amp;A686,Transactions!$B:$B,Settings!$B$1))</f>
        <v/>
      </c>
      <c r="F686" s="14" t="str">
        <f aca="false">IF(A686="","",IF(C686="","",D686*B686*C686))</f>
        <v/>
      </c>
      <c r="G686" s="14" t="str">
        <f aca="false">IF(F686="","",F686-E686)</f>
        <v/>
      </c>
      <c r="H686" s="14" t="str">
        <f aca="false">IF(F686="","",IFERROR(F686-F685-(E686-E685),0))</f>
        <v/>
      </c>
    </row>
    <row r="687" customFormat="false" ht="15" hidden="false" customHeight="false" outlineLevel="0" collapsed="false">
      <c r="A687" s="13" t="str">
        <f aca="false">IF(Prices!A687="","",Prices!A687)</f>
        <v/>
      </c>
      <c r="B687" s="14" t="str">
        <f aca="false">IF(A687="","",Prices!C687)</f>
        <v/>
      </c>
      <c r="C687" s="15" t="str">
        <f aca="false">IF(A687="","",IFERROR(INDEX(FX!$B:$B,MATCH(A687,FX!$A:$A,1)),""))</f>
        <v/>
      </c>
      <c r="D687" s="14" t="str">
        <f aca="false">IF(A687="","",SUMIFS(Transactions!$D:$D,Transactions!$A:$A,"&lt;="&amp;A687,Transactions!$B:$B,Settings!$B$1))</f>
        <v/>
      </c>
      <c r="E687" s="14" t="str">
        <f aca="false">IF(A687="","",SUMIFS(Transactions!$C:$C,Transactions!$A:$A,"&lt;="&amp;A687,Transactions!$B:$B,Settings!$B$1)+SUMIFS(Transactions!$F:$F,Transactions!$A:$A,"&lt;="&amp;A687,Transactions!$B:$B,Settings!$B$1))</f>
        <v/>
      </c>
      <c r="F687" s="14" t="str">
        <f aca="false">IF(A687="","",IF(C687="","",D687*B687*C687))</f>
        <v/>
      </c>
      <c r="G687" s="14" t="str">
        <f aca="false">IF(F687="","",F687-E687)</f>
        <v/>
      </c>
      <c r="H687" s="14" t="str">
        <f aca="false">IF(F687="","",IFERROR(F687-F686-(E687-E686),0))</f>
        <v/>
      </c>
    </row>
    <row r="688" customFormat="false" ht="15" hidden="false" customHeight="false" outlineLevel="0" collapsed="false">
      <c r="A688" s="13" t="str">
        <f aca="false">IF(Prices!A688="","",Prices!A688)</f>
        <v/>
      </c>
      <c r="B688" s="14" t="str">
        <f aca="false">IF(A688="","",Prices!C688)</f>
        <v/>
      </c>
      <c r="C688" s="15" t="str">
        <f aca="false">IF(A688="","",IFERROR(INDEX(FX!$B:$B,MATCH(A688,FX!$A:$A,1)),""))</f>
        <v/>
      </c>
      <c r="D688" s="14" t="str">
        <f aca="false">IF(A688="","",SUMIFS(Transactions!$D:$D,Transactions!$A:$A,"&lt;="&amp;A688,Transactions!$B:$B,Settings!$B$1))</f>
        <v/>
      </c>
      <c r="E688" s="14" t="str">
        <f aca="false">IF(A688="","",SUMIFS(Transactions!$C:$C,Transactions!$A:$A,"&lt;="&amp;A688,Transactions!$B:$B,Settings!$B$1)+SUMIFS(Transactions!$F:$F,Transactions!$A:$A,"&lt;="&amp;A688,Transactions!$B:$B,Settings!$B$1))</f>
        <v/>
      </c>
      <c r="F688" s="14" t="str">
        <f aca="false">IF(A688="","",IF(C688="","",D688*B688*C688))</f>
        <v/>
      </c>
      <c r="G688" s="14" t="str">
        <f aca="false">IF(F688="","",F688-E688)</f>
        <v/>
      </c>
      <c r="H688" s="14" t="str">
        <f aca="false">IF(F688="","",IFERROR(F688-F687-(E688-E687),0))</f>
        <v/>
      </c>
    </row>
    <row r="689" customFormat="false" ht="15" hidden="false" customHeight="false" outlineLevel="0" collapsed="false">
      <c r="A689" s="13" t="str">
        <f aca="false">IF(Prices!A689="","",Prices!A689)</f>
        <v/>
      </c>
      <c r="B689" s="14" t="str">
        <f aca="false">IF(A689="","",Prices!C689)</f>
        <v/>
      </c>
      <c r="C689" s="15" t="str">
        <f aca="false">IF(A689="","",IFERROR(INDEX(FX!$B:$B,MATCH(A689,FX!$A:$A,1)),""))</f>
        <v/>
      </c>
      <c r="D689" s="14" t="str">
        <f aca="false">IF(A689="","",SUMIFS(Transactions!$D:$D,Transactions!$A:$A,"&lt;="&amp;A689,Transactions!$B:$B,Settings!$B$1))</f>
        <v/>
      </c>
      <c r="E689" s="14" t="str">
        <f aca="false">IF(A689="","",SUMIFS(Transactions!$C:$C,Transactions!$A:$A,"&lt;="&amp;A689,Transactions!$B:$B,Settings!$B$1)+SUMIFS(Transactions!$F:$F,Transactions!$A:$A,"&lt;="&amp;A689,Transactions!$B:$B,Settings!$B$1))</f>
        <v/>
      </c>
      <c r="F689" s="14" t="str">
        <f aca="false">IF(A689="","",IF(C689="","",D689*B689*C689))</f>
        <v/>
      </c>
      <c r="G689" s="14" t="str">
        <f aca="false">IF(F689="","",F689-E689)</f>
        <v/>
      </c>
      <c r="H689" s="14" t="str">
        <f aca="false">IF(F689="","",IFERROR(F689-F688-(E689-E688),0))</f>
        <v/>
      </c>
    </row>
    <row r="690" customFormat="false" ht="15" hidden="false" customHeight="false" outlineLevel="0" collapsed="false">
      <c r="A690" s="13" t="str">
        <f aca="false">IF(Prices!A690="","",Prices!A690)</f>
        <v/>
      </c>
      <c r="B690" s="14" t="str">
        <f aca="false">IF(A690="","",Prices!C690)</f>
        <v/>
      </c>
      <c r="C690" s="15" t="str">
        <f aca="false">IF(A690="","",IFERROR(INDEX(FX!$B:$B,MATCH(A690,FX!$A:$A,1)),""))</f>
        <v/>
      </c>
      <c r="D690" s="14" t="str">
        <f aca="false">IF(A690="","",SUMIFS(Transactions!$D:$D,Transactions!$A:$A,"&lt;="&amp;A690,Transactions!$B:$B,Settings!$B$1))</f>
        <v/>
      </c>
      <c r="E690" s="14" t="str">
        <f aca="false">IF(A690="","",SUMIFS(Transactions!$C:$C,Transactions!$A:$A,"&lt;="&amp;A690,Transactions!$B:$B,Settings!$B$1)+SUMIFS(Transactions!$F:$F,Transactions!$A:$A,"&lt;="&amp;A690,Transactions!$B:$B,Settings!$B$1))</f>
        <v/>
      </c>
      <c r="F690" s="14" t="str">
        <f aca="false">IF(A690="","",IF(C690="","",D690*B690*C690))</f>
        <v/>
      </c>
      <c r="G690" s="14" t="str">
        <f aca="false">IF(F690="","",F690-E690)</f>
        <v/>
      </c>
      <c r="H690" s="14" t="str">
        <f aca="false">IF(F690="","",IFERROR(F690-F689-(E690-E689),0))</f>
        <v/>
      </c>
    </row>
    <row r="691" customFormat="false" ht="15" hidden="false" customHeight="false" outlineLevel="0" collapsed="false">
      <c r="A691" s="13" t="str">
        <f aca="false">IF(Prices!A691="","",Prices!A691)</f>
        <v/>
      </c>
      <c r="B691" s="14" t="str">
        <f aca="false">IF(A691="","",Prices!C691)</f>
        <v/>
      </c>
      <c r="C691" s="15" t="str">
        <f aca="false">IF(A691="","",IFERROR(INDEX(FX!$B:$B,MATCH(A691,FX!$A:$A,1)),""))</f>
        <v/>
      </c>
      <c r="D691" s="14" t="str">
        <f aca="false">IF(A691="","",SUMIFS(Transactions!$D:$D,Transactions!$A:$A,"&lt;="&amp;A691,Transactions!$B:$B,Settings!$B$1))</f>
        <v/>
      </c>
      <c r="E691" s="14" t="str">
        <f aca="false">IF(A691="","",SUMIFS(Transactions!$C:$C,Transactions!$A:$A,"&lt;="&amp;A691,Transactions!$B:$B,Settings!$B$1)+SUMIFS(Transactions!$F:$F,Transactions!$A:$A,"&lt;="&amp;A691,Transactions!$B:$B,Settings!$B$1))</f>
        <v/>
      </c>
      <c r="F691" s="14" t="str">
        <f aca="false">IF(A691="","",IF(C691="","",D691*B691*C691))</f>
        <v/>
      </c>
      <c r="G691" s="14" t="str">
        <f aca="false">IF(F691="","",F691-E691)</f>
        <v/>
      </c>
      <c r="H691" s="14" t="str">
        <f aca="false">IF(F691="","",IFERROR(F691-F690-(E691-E690),0))</f>
        <v/>
      </c>
    </row>
    <row r="692" customFormat="false" ht="15" hidden="false" customHeight="false" outlineLevel="0" collapsed="false">
      <c r="A692" s="13" t="str">
        <f aca="false">IF(Prices!A692="","",Prices!A692)</f>
        <v/>
      </c>
      <c r="B692" s="14" t="str">
        <f aca="false">IF(A692="","",Prices!C692)</f>
        <v/>
      </c>
      <c r="C692" s="15" t="str">
        <f aca="false">IF(A692="","",IFERROR(INDEX(FX!$B:$B,MATCH(A692,FX!$A:$A,1)),""))</f>
        <v/>
      </c>
      <c r="D692" s="14" t="str">
        <f aca="false">IF(A692="","",SUMIFS(Transactions!$D:$D,Transactions!$A:$A,"&lt;="&amp;A692,Transactions!$B:$B,Settings!$B$1))</f>
        <v/>
      </c>
      <c r="E692" s="14" t="str">
        <f aca="false">IF(A692="","",SUMIFS(Transactions!$C:$C,Transactions!$A:$A,"&lt;="&amp;A692,Transactions!$B:$B,Settings!$B$1)+SUMIFS(Transactions!$F:$F,Transactions!$A:$A,"&lt;="&amp;A692,Transactions!$B:$B,Settings!$B$1))</f>
        <v/>
      </c>
      <c r="F692" s="14" t="str">
        <f aca="false">IF(A692="","",IF(C692="","",D692*B692*C692))</f>
        <v/>
      </c>
      <c r="G692" s="14" t="str">
        <f aca="false">IF(F692="","",F692-E692)</f>
        <v/>
      </c>
      <c r="H692" s="14" t="str">
        <f aca="false">IF(F692="","",IFERROR(F692-F691-(E692-E691),0))</f>
        <v/>
      </c>
    </row>
    <row r="693" customFormat="false" ht="15" hidden="false" customHeight="false" outlineLevel="0" collapsed="false">
      <c r="A693" s="13" t="str">
        <f aca="false">IF(Prices!A693="","",Prices!A693)</f>
        <v/>
      </c>
      <c r="B693" s="14" t="str">
        <f aca="false">IF(A693="","",Prices!C693)</f>
        <v/>
      </c>
      <c r="C693" s="15" t="str">
        <f aca="false">IF(A693="","",IFERROR(INDEX(FX!$B:$B,MATCH(A693,FX!$A:$A,1)),""))</f>
        <v/>
      </c>
      <c r="D693" s="14" t="str">
        <f aca="false">IF(A693="","",SUMIFS(Transactions!$D:$D,Transactions!$A:$A,"&lt;="&amp;A693,Transactions!$B:$B,Settings!$B$1))</f>
        <v/>
      </c>
      <c r="E693" s="14" t="str">
        <f aca="false">IF(A693="","",SUMIFS(Transactions!$C:$C,Transactions!$A:$A,"&lt;="&amp;A693,Transactions!$B:$B,Settings!$B$1)+SUMIFS(Transactions!$F:$F,Transactions!$A:$A,"&lt;="&amp;A693,Transactions!$B:$B,Settings!$B$1))</f>
        <v/>
      </c>
      <c r="F693" s="14" t="str">
        <f aca="false">IF(A693="","",IF(C693="","",D693*B693*C693))</f>
        <v/>
      </c>
      <c r="G693" s="14" t="str">
        <f aca="false">IF(F693="","",F693-E693)</f>
        <v/>
      </c>
      <c r="H693" s="14" t="str">
        <f aca="false">IF(F693="","",IFERROR(F693-F692-(E693-E692),0))</f>
        <v/>
      </c>
    </row>
    <row r="694" customFormat="false" ht="15" hidden="false" customHeight="false" outlineLevel="0" collapsed="false">
      <c r="A694" s="13" t="str">
        <f aca="false">IF(Prices!A694="","",Prices!A694)</f>
        <v/>
      </c>
      <c r="B694" s="14" t="str">
        <f aca="false">IF(A694="","",Prices!C694)</f>
        <v/>
      </c>
      <c r="C694" s="15" t="str">
        <f aca="false">IF(A694="","",IFERROR(INDEX(FX!$B:$B,MATCH(A694,FX!$A:$A,1)),""))</f>
        <v/>
      </c>
      <c r="D694" s="14" t="str">
        <f aca="false">IF(A694="","",SUMIFS(Transactions!$D:$D,Transactions!$A:$A,"&lt;="&amp;A694,Transactions!$B:$B,Settings!$B$1))</f>
        <v/>
      </c>
      <c r="E694" s="14" t="str">
        <f aca="false">IF(A694="","",SUMIFS(Transactions!$C:$C,Transactions!$A:$A,"&lt;="&amp;A694,Transactions!$B:$B,Settings!$B$1)+SUMIFS(Transactions!$F:$F,Transactions!$A:$A,"&lt;="&amp;A694,Transactions!$B:$B,Settings!$B$1))</f>
        <v/>
      </c>
      <c r="F694" s="14" t="str">
        <f aca="false">IF(A694="","",IF(C694="","",D694*B694*C694))</f>
        <v/>
      </c>
      <c r="G694" s="14" t="str">
        <f aca="false">IF(F694="","",F694-E694)</f>
        <v/>
      </c>
      <c r="H694" s="14" t="str">
        <f aca="false">IF(F694="","",IFERROR(F694-F693-(E694-E693),0))</f>
        <v/>
      </c>
    </row>
    <row r="695" customFormat="false" ht="15" hidden="false" customHeight="false" outlineLevel="0" collapsed="false">
      <c r="A695" s="13" t="str">
        <f aca="false">IF(Prices!A695="","",Prices!A695)</f>
        <v/>
      </c>
      <c r="B695" s="14" t="str">
        <f aca="false">IF(A695="","",Prices!C695)</f>
        <v/>
      </c>
      <c r="C695" s="15" t="str">
        <f aca="false">IF(A695="","",IFERROR(INDEX(FX!$B:$B,MATCH(A695,FX!$A:$A,1)),""))</f>
        <v/>
      </c>
      <c r="D695" s="14" t="str">
        <f aca="false">IF(A695="","",SUMIFS(Transactions!$D:$D,Transactions!$A:$A,"&lt;="&amp;A695,Transactions!$B:$B,Settings!$B$1))</f>
        <v/>
      </c>
      <c r="E695" s="14" t="str">
        <f aca="false">IF(A695="","",SUMIFS(Transactions!$C:$C,Transactions!$A:$A,"&lt;="&amp;A695,Transactions!$B:$B,Settings!$B$1)+SUMIFS(Transactions!$F:$F,Transactions!$A:$A,"&lt;="&amp;A695,Transactions!$B:$B,Settings!$B$1))</f>
        <v/>
      </c>
      <c r="F695" s="14" t="str">
        <f aca="false">IF(A695="","",IF(C695="","",D695*B695*C695))</f>
        <v/>
      </c>
      <c r="G695" s="14" t="str">
        <f aca="false">IF(F695="","",F695-E695)</f>
        <v/>
      </c>
      <c r="H695" s="14" t="str">
        <f aca="false">IF(F695="","",IFERROR(F695-F694-(E695-E694),0))</f>
        <v/>
      </c>
    </row>
    <row r="696" customFormat="false" ht="15" hidden="false" customHeight="false" outlineLevel="0" collapsed="false">
      <c r="A696" s="13" t="str">
        <f aca="false">IF(Prices!A696="","",Prices!A696)</f>
        <v/>
      </c>
      <c r="B696" s="14" t="str">
        <f aca="false">IF(A696="","",Prices!C696)</f>
        <v/>
      </c>
      <c r="C696" s="15" t="str">
        <f aca="false">IF(A696="","",IFERROR(INDEX(FX!$B:$B,MATCH(A696,FX!$A:$A,1)),""))</f>
        <v/>
      </c>
      <c r="D696" s="14" t="str">
        <f aca="false">IF(A696="","",SUMIFS(Transactions!$D:$D,Transactions!$A:$A,"&lt;="&amp;A696,Transactions!$B:$B,Settings!$B$1))</f>
        <v/>
      </c>
      <c r="E696" s="14" t="str">
        <f aca="false">IF(A696="","",SUMIFS(Transactions!$C:$C,Transactions!$A:$A,"&lt;="&amp;A696,Transactions!$B:$B,Settings!$B$1)+SUMIFS(Transactions!$F:$F,Transactions!$A:$A,"&lt;="&amp;A696,Transactions!$B:$B,Settings!$B$1))</f>
        <v/>
      </c>
      <c r="F696" s="14" t="str">
        <f aca="false">IF(A696="","",IF(C696="","",D696*B696*C696))</f>
        <v/>
      </c>
      <c r="G696" s="14" t="str">
        <f aca="false">IF(F696="","",F696-E696)</f>
        <v/>
      </c>
      <c r="H696" s="14" t="str">
        <f aca="false">IF(F696="","",IFERROR(F696-F695-(E696-E695),0))</f>
        <v/>
      </c>
    </row>
    <row r="697" customFormat="false" ht="15" hidden="false" customHeight="false" outlineLevel="0" collapsed="false">
      <c r="A697" s="13" t="str">
        <f aca="false">IF(Prices!A697="","",Prices!A697)</f>
        <v/>
      </c>
      <c r="B697" s="14" t="str">
        <f aca="false">IF(A697="","",Prices!C697)</f>
        <v/>
      </c>
      <c r="C697" s="15" t="str">
        <f aca="false">IF(A697="","",IFERROR(INDEX(FX!$B:$B,MATCH(A697,FX!$A:$A,1)),""))</f>
        <v/>
      </c>
      <c r="D697" s="14" t="str">
        <f aca="false">IF(A697="","",SUMIFS(Transactions!$D:$D,Transactions!$A:$A,"&lt;="&amp;A697,Transactions!$B:$B,Settings!$B$1))</f>
        <v/>
      </c>
      <c r="E697" s="14" t="str">
        <f aca="false">IF(A697="","",SUMIFS(Transactions!$C:$C,Transactions!$A:$A,"&lt;="&amp;A697,Transactions!$B:$B,Settings!$B$1)+SUMIFS(Transactions!$F:$F,Transactions!$A:$A,"&lt;="&amp;A697,Transactions!$B:$B,Settings!$B$1))</f>
        <v/>
      </c>
      <c r="F697" s="14" t="str">
        <f aca="false">IF(A697="","",IF(C697="","",D697*B697*C697))</f>
        <v/>
      </c>
      <c r="G697" s="14" t="str">
        <f aca="false">IF(F697="","",F697-E697)</f>
        <v/>
      </c>
      <c r="H697" s="14" t="str">
        <f aca="false">IF(F697="","",IFERROR(F697-F696-(E697-E696),0))</f>
        <v/>
      </c>
    </row>
    <row r="698" customFormat="false" ht="15" hidden="false" customHeight="false" outlineLevel="0" collapsed="false">
      <c r="A698" s="13" t="str">
        <f aca="false">IF(Prices!A698="","",Prices!A698)</f>
        <v/>
      </c>
      <c r="B698" s="14" t="str">
        <f aca="false">IF(A698="","",Prices!C698)</f>
        <v/>
      </c>
      <c r="C698" s="15" t="str">
        <f aca="false">IF(A698="","",IFERROR(INDEX(FX!$B:$B,MATCH(A698,FX!$A:$A,1)),""))</f>
        <v/>
      </c>
      <c r="D698" s="14" t="str">
        <f aca="false">IF(A698="","",SUMIFS(Transactions!$D:$D,Transactions!$A:$A,"&lt;="&amp;A698,Transactions!$B:$B,Settings!$B$1))</f>
        <v/>
      </c>
      <c r="E698" s="14" t="str">
        <f aca="false">IF(A698="","",SUMIFS(Transactions!$C:$C,Transactions!$A:$A,"&lt;="&amp;A698,Transactions!$B:$B,Settings!$B$1)+SUMIFS(Transactions!$F:$F,Transactions!$A:$A,"&lt;="&amp;A698,Transactions!$B:$B,Settings!$B$1))</f>
        <v/>
      </c>
      <c r="F698" s="14" t="str">
        <f aca="false">IF(A698="","",IF(C698="","",D698*B698*C698))</f>
        <v/>
      </c>
      <c r="G698" s="14" t="str">
        <f aca="false">IF(F698="","",F698-E698)</f>
        <v/>
      </c>
      <c r="H698" s="14" t="str">
        <f aca="false">IF(F698="","",IFERROR(F698-F697-(E698-E697),0))</f>
        <v/>
      </c>
    </row>
    <row r="699" customFormat="false" ht="15" hidden="false" customHeight="false" outlineLevel="0" collapsed="false">
      <c r="A699" s="13" t="str">
        <f aca="false">IF(Prices!A699="","",Prices!A699)</f>
        <v/>
      </c>
      <c r="B699" s="14" t="str">
        <f aca="false">IF(A699="","",Prices!C699)</f>
        <v/>
      </c>
      <c r="C699" s="15" t="str">
        <f aca="false">IF(A699="","",IFERROR(INDEX(FX!$B:$B,MATCH(A699,FX!$A:$A,1)),""))</f>
        <v/>
      </c>
      <c r="D699" s="14" t="str">
        <f aca="false">IF(A699="","",SUMIFS(Transactions!$D:$D,Transactions!$A:$A,"&lt;="&amp;A699,Transactions!$B:$B,Settings!$B$1))</f>
        <v/>
      </c>
      <c r="E699" s="14" t="str">
        <f aca="false">IF(A699="","",SUMIFS(Transactions!$C:$C,Transactions!$A:$A,"&lt;="&amp;A699,Transactions!$B:$B,Settings!$B$1)+SUMIFS(Transactions!$F:$F,Transactions!$A:$A,"&lt;="&amp;A699,Transactions!$B:$B,Settings!$B$1))</f>
        <v/>
      </c>
      <c r="F699" s="14" t="str">
        <f aca="false">IF(A699="","",IF(C699="","",D699*B699*C699))</f>
        <v/>
      </c>
      <c r="G699" s="14" t="str">
        <f aca="false">IF(F699="","",F699-E699)</f>
        <v/>
      </c>
      <c r="H699" s="14" t="str">
        <f aca="false">IF(F699="","",IFERROR(F699-F698-(E699-E698),0))</f>
        <v/>
      </c>
    </row>
    <row r="700" customFormat="false" ht="15" hidden="false" customHeight="false" outlineLevel="0" collapsed="false">
      <c r="A700" s="13" t="str">
        <f aca="false">IF(Prices!A700="","",Prices!A700)</f>
        <v/>
      </c>
      <c r="B700" s="14" t="str">
        <f aca="false">IF(A700="","",Prices!C700)</f>
        <v/>
      </c>
      <c r="C700" s="15" t="str">
        <f aca="false">IF(A700="","",IFERROR(INDEX(FX!$B:$B,MATCH(A700,FX!$A:$A,1)),""))</f>
        <v/>
      </c>
      <c r="D700" s="14" t="str">
        <f aca="false">IF(A700="","",SUMIFS(Transactions!$D:$D,Transactions!$A:$A,"&lt;="&amp;A700,Transactions!$B:$B,Settings!$B$1))</f>
        <v/>
      </c>
      <c r="E700" s="14" t="str">
        <f aca="false">IF(A700="","",SUMIFS(Transactions!$C:$C,Transactions!$A:$A,"&lt;="&amp;A700,Transactions!$B:$B,Settings!$B$1)+SUMIFS(Transactions!$F:$F,Transactions!$A:$A,"&lt;="&amp;A700,Transactions!$B:$B,Settings!$B$1))</f>
        <v/>
      </c>
      <c r="F700" s="14" t="str">
        <f aca="false">IF(A700="","",IF(C700="","",D700*B700*C700))</f>
        <v/>
      </c>
      <c r="G700" s="14" t="str">
        <f aca="false">IF(F700="","",F700-E700)</f>
        <v/>
      </c>
      <c r="H700" s="14" t="str">
        <f aca="false">IF(F700="","",IFERROR(F700-F699-(E700-E699),0))</f>
        <v/>
      </c>
    </row>
    <row r="701" customFormat="false" ht="15" hidden="false" customHeight="false" outlineLevel="0" collapsed="false">
      <c r="A701" s="13" t="str">
        <f aca="false">IF(Prices!A701="","",Prices!A701)</f>
        <v/>
      </c>
      <c r="B701" s="14" t="str">
        <f aca="false">IF(A701="","",Prices!C701)</f>
        <v/>
      </c>
      <c r="C701" s="15" t="str">
        <f aca="false">IF(A701="","",IFERROR(INDEX(FX!$B:$B,MATCH(A701,FX!$A:$A,1)),""))</f>
        <v/>
      </c>
      <c r="D701" s="14" t="str">
        <f aca="false">IF(A701="","",SUMIFS(Transactions!$D:$D,Transactions!$A:$A,"&lt;="&amp;A701,Transactions!$B:$B,Settings!$B$1))</f>
        <v/>
      </c>
      <c r="E701" s="14" t="str">
        <f aca="false">IF(A701="","",SUMIFS(Transactions!$C:$C,Transactions!$A:$A,"&lt;="&amp;A701,Transactions!$B:$B,Settings!$B$1)+SUMIFS(Transactions!$F:$F,Transactions!$A:$A,"&lt;="&amp;A701,Transactions!$B:$B,Settings!$B$1))</f>
        <v/>
      </c>
      <c r="F701" s="14" t="str">
        <f aca="false">IF(A701="","",IF(C701="","",D701*B701*C701))</f>
        <v/>
      </c>
      <c r="G701" s="14" t="str">
        <f aca="false">IF(F701="","",F701-E701)</f>
        <v/>
      </c>
      <c r="H701" s="14" t="str">
        <f aca="false">IF(F701="","",IFERROR(F701-F700-(E701-E700),0))</f>
        <v/>
      </c>
    </row>
    <row r="702" customFormat="false" ht="15" hidden="false" customHeight="false" outlineLevel="0" collapsed="false">
      <c r="A702" s="13" t="str">
        <f aca="false">IF(Prices!A702="","",Prices!A702)</f>
        <v/>
      </c>
      <c r="B702" s="14" t="str">
        <f aca="false">IF(A702="","",Prices!C702)</f>
        <v/>
      </c>
      <c r="C702" s="15" t="str">
        <f aca="false">IF(A702="","",IFERROR(INDEX(FX!$B:$B,MATCH(A702,FX!$A:$A,1)),""))</f>
        <v/>
      </c>
      <c r="D702" s="14" t="str">
        <f aca="false">IF(A702="","",SUMIFS(Transactions!$D:$D,Transactions!$A:$A,"&lt;="&amp;A702,Transactions!$B:$B,Settings!$B$1))</f>
        <v/>
      </c>
      <c r="E702" s="14" t="str">
        <f aca="false">IF(A702="","",SUMIFS(Transactions!$C:$C,Transactions!$A:$A,"&lt;="&amp;A702,Transactions!$B:$B,Settings!$B$1)+SUMIFS(Transactions!$F:$F,Transactions!$A:$A,"&lt;="&amp;A702,Transactions!$B:$B,Settings!$B$1))</f>
        <v/>
      </c>
      <c r="F702" s="14" t="str">
        <f aca="false">IF(A702="","",IF(C702="","",D702*B702*C702))</f>
        <v/>
      </c>
      <c r="G702" s="14" t="str">
        <f aca="false">IF(F702="","",F702-E702)</f>
        <v/>
      </c>
      <c r="H702" s="14" t="str">
        <f aca="false">IF(F702="","",IFERROR(F702-F701-(E702-E701),0))</f>
        <v/>
      </c>
    </row>
    <row r="703" customFormat="false" ht="15" hidden="false" customHeight="false" outlineLevel="0" collapsed="false">
      <c r="A703" s="13" t="str">
        <f aca="false">IF(Prices!A703="","",Prices!A703)</f>
        <v/>
      </c>
      <c r="B703" s="14" t="str">
        <f aca="false">IF(A703="","",Prices!C703)</f>
        <v/>
      </c>
      <c r="C703" s="15" t="str">
        <f aca="false">IF(A703="","",IFERROR(INDEX(FX!$B:$B,MATCH(A703,FX!$A:$A,1)),""))</f>
        <v/>
      </c>
      <c r="D703" s="14" t="str">
        <f aca="false">IF(A703="","",SUMIFS(Transactions!$D:$D,Transactions!$A:$A,"&lt;="&amp;A703,Transactions!$B:$B,Settings!$B$1))</f>
        <v/>
      </c>
      <c r="E703" s="14" t="str">
        <f aca="false">IF(A703="","",SUMIFS(Transactions!$C:$C,Transactions!$A:$A,"&lt;="&amp;A703,Transactions!$B:$B,Settings!$B$1)+SUMIFS(Transactions!$F:$F,Transactions!$A:$A,"&lt;="&amp;A703,Transactions!$B:$B,Settings!$B$1))</f>
        <v/>
      </c>
      <c r="F703" s="14" t="str">
        <f aca="false">IF(A703="","",IF(C703="","",D703*B703*C703))</f>
        <v/>
      </c>
      <c r="G703" s="14" t="str">
        <f aca="false">IF(F703="","",F703-E703)</f>
        <v/>
      </c>
      <c r="H703" s="14" t="str">
        <f aca="false">IF(F703="","",IFERROR(F703-F702-(E703-E702),0))</f>
        <v/>
      </c>
    </row>
    <row r="704" customFormat="false" ht="15" hidden="false" customHeight="false" outlineLevel="0" collapsed="false">
      <c r="A704" s="13" t="str">
        <f aca="false">IF(Prices!A704="","",Prices!A704)</f>
        <v/>
      </c>
      <c r="B704" s="14" t="str">
        <f aca="false">IF(A704="","",Prices!C704)</f>
        <v/>
      </c>
      <c r="C704" s="15" t="str">
        <f aca="false">IF(A704="","",IFERROR(INDEX(FX!$B:$B,MATCH(A704,FX!$A:$A,1)),""))</f>
        <v/>
      </c>
      <c r="D704" s="14" t="str">
        <f aca="false">IF(A704="","",SUMIFS(Transactions!$D:$D,Transactions!$A:$A,"&lt;="&amp;A704,Transactions!$B:$B,Settings!$B$1))</f>
        <v/>
      </c>
      <c r="E704" s="14" t="str">
        <f aca="false">IF(A704="","",SUMIFS(Transactions!$C:$C,Transactions!$A:$A,"&lt;="&amp;A704,Transactions!$B:$B,Settings!$B$1)+SUMIFS(Transactions!$F:$F,Transactions!$A:$A,"&lt;="&amp;A704,Transactions!$B:$B,Settings!$B$1))</f>
        <v/>
      </c>
      <c r="F704" s="14" t="str">
        <f aca="false">IF(A704="","",IF(C704="","",D704*B704*C704))</f>
        <v/>
      </c>
      <c r="G704" s="14" t="str">
        <f aca="false">IF(F704="","",F704-E704)</f>
        <v/>
      </c>
      <c r="H704" s="14" t="str">
        <f aca="false">IF(F704="","",IFERROR(F704-F703-(E704-E703),0))</f>
        <v/>
      </c>
    </row>
    <row r="705" customFormat="false" ht="15" hidden="false" customHeight="false" outlineLevel="0" collapsed="false">
      <c r="A705" s="13" t="str">
        <f aca="false">IF(Prices!A705="","",Prices!A705)</f>
        <v/>
      </c>
      <c r="B705" s="14" t="str">
        <f aca="false">IF(A705="","",Prices!C705)</f>
        <v/>
      </c>
      <c r="C705" s="15" t="str">
        <f aca="false">IF(A705="","",IFERROR(INDEX(FX!$B:$B,MATCH(A705,FX!$A:$A,1)),""))</f>
        <v/>
      </c>
      <c r="D705" s="14" t="str">
        <f aca="false">IF(A705="","",SUMIFS(Transactions!$D:$D,Transactions!$A:$A,"&lt;="&amp;A705,Transactions!$B:$B,Settings!$B$1))</f>
        <v/>
      </c>
      <c r="E705" s="14" t="str">
        <f aca="false">IF(A705="","",SUMIFS(Transactions!$C:$C,Transactions!$A:$A,"&lt;="&amp;A705,Transactions!$B:$B,Settings!$B$1)+SUMIFS(Transactions!$F:$F,Transactions!$A:$A,"&lt;="&amp;A705,Transactions!$B:$B,Settings!$B$1))</f>
        <v/>
      </c>
      <c r="F705" s="14" t="str">
        <f aca="false">IF(A705="","",IF(C705="","",D705*B705*C705))</f>
        <v/>
      </c>
      <c r="G705" s="14" t="str">
        <f aca="false">IF(F705="","",F705-E705)</f>
        <v/>
      </c>
      <c r="H705" s="14" t="str">
        <f aca="false">IF(F705="","",IFERROR(F705-F704-(E705-E704),0))</f>
        <v/>
      </c>
    </row>
    <row r="706" customFormat="false" ht="15" hidden="false" customHeight="false" outlineLevel="0" collapsed="false">
      <c r="A706" s="13" t="str">
        <f aca="false">IF(Prices!A706="","",Prices!A706)</f>
        <v/>
      </c>
      <c r="B706" s="14" t="str">
        <f aca="false">IF(A706="","",Prices!C706)</f>
        <v/>
      </c>
      <c r="C706" s="15" t="str">
        <f aca="false">IF(A706="","",IFERROR(INDEX(FX!$B:$B,MATCH(A706,FX!$A:$A,1)),""))</f>
        <v/>
      </c>
      <c r="D706" s="14" t="str">
        <f aca="false">IF(A706="","",SUMIFS(Transactions!$D:$D,Transactions!$A:$A,"&lt;="&amp;A706,Transactions!$B:$B,Settings!$B$1))</f>
        <v/>
      </c>
      <c r="E706" s="14" t="str">
        <f aca="false">IF(A706="","",SUMIFS(Transactions!$C:$C,Transactions!$A:$A,"&lt;="&amp;A706,Transactions!$B:$B,Settings!$B$1)+SUMIFS(Transactions!$F:$F,Transactions!$A:$A,"&lt;="&amp;A706,Transactions!$B:$B,Settings!$B$1))</f>
        <v/>
      </c>
      <c r="F706" s="14" t="str">
        <f aca="false">IF(A706="","",IF(C706="","",D706*B706*C706))</f>
        <v/>
      </c>
      <c r="G706" s="14" t="str">
        <f aca="false">IF(F706="","",F706-E706)</f>
        <v/>
      </c>
      <c r="H706" s="14" t="str">
        <f aca="false">IF(F706="","",IFERROR(F706-F705-(E706-E705),0))</f>
        <v/>
      </c>
    </row>
    <row r="707" customFormat="false" ht="15" hidden="false" customHeight="false" outlineLevel="0" collapsed="false">
      <c r="A707" s="13" t="str">
        <f aca="false">IF(Prices!A707="","",Prices!A707)</f>
        <v/>
      </c>
      <c r="B707" s="14" t="str">
        <f aca="false">IF(A707="","",Prices!C707)</f>
        <v/>
      </c>
      <c r="C707" s="15" t="str">
        <f aca="false">IF(A707="","",IFERROR(INDEX(FX!$B:$B,MATCH(A707,FX!$A:$A,1)),""))</f>
        <v/>
      </c>
      <c r="D707" s="14" t="str">
        <f aca="false">IF(A707="","",SUMIFS(Transactions!$D:$D,Transactions!$A:$A,"&lt;="&amp;A707,Transactions!$B:$B,Settings!$B$1))</f>
        <v/>
      </c>
      <c r="E707" s="14" t="str">
        <f aca="false">IF(A707="","",SUMIFS(Transactions!$C:$C,Transactions!$A:$A,"&lt;="&amp;A707,Transactions!$B:$B,Settings!$B$1)+SUMIFS(Transactions!$F:$F,Transactions!$A:$A,"&lt;="&amp;A707,Transactions!$B:$B,Settings!$B$1))</f>
        <v/>
      </c>
      <c r="F707" s="14" t="str">
        <f aca="false">IF(A707="","",IF(C707="","",D707*B707*C707))</f>
        <v/>
      </c>
      <c r="G707" s="14" t="str">
        <f aca="false">IF(F707="","",F707-E707)</f>
        <v/>
      </c>
      <c r="H707" s="14" t="str">
        <f aca="false">IF(F707="","",IFERROR(F707-F706-(E707-E706),0))</f>
        <v/>
      </c>
    </row>
    <row r="708" customFormat="false" ht="15" hidden="false" customHeight="false" outlineLevel="0" collapsed="false">
      <c r="A708" s="13" t="str">
        <f aca="false">IF(Prices!A708="","",Prices!A708)</f>
        <v/>
      </c>
      <c r="B708" s="14" t="str">
        <f aca="false">IF(A708="","",Prices!C708)</f>
        <v/>
      </c>
      <c r="C708" s="15" t="str">
        <f aca="false">IF(A708="","",IFERROR(INDEX(FX!$B:$B,MATCH(A708,FX!$A:$A,1)),""))</f>
        <v/>
      </c>
      <c r="D708" s="14" t="str">
        <f aca="false">IF(A708="","",SUMIFS(Transactions!$D:$D,Transactions!$A:$A,"&lt;="&amp;A708,Transactions!$B:$B,Settings!$B$1))</f>
        <v/>
      </c>
      <c r="E708" s="14" t="str">
        <f aca="false">IF(A708="","",SUMIFS(Transactions!$C:$C,Transactions!$A:$A,"&lt;="&amp;A708,Transactions!$B:$B,Settings!$B$1)+SUMIFS(Transactions!$F:$F,Transactions!$A:$A,"&lt;="&amp;A708,Transactions!$B:$B,Settings!$B$1))</f>
        <v/>
      </c>
      <c r="F708" s="14" t="str">
        <f aca="false">IF(A708="","",IF(C708="","",D708*B708*C708))</f>
        <v/>
      </c>
      <c r="G708" s="14" t="str">
        <f aca="false">IF(F708="","",F708-E708)</f>
        <v/>
      </c>
      <c r="H708" s="14" t="str">
        <f aca="false">IF(F708="","",IFERROR(F708-F707-(E708-E707),0))</f>
        <v/>
      </c>
    </row>
    <row r="709" customFormat="false" ht="15" hidden="false" customHeight="false" outlineLevel="0" collapsed="false">
      <c r="A709" s="13" t="str">
        <f aca="false">IF(Prices!A709="","",Prices!A709)</f>
        <v/>
      </c>
      <c r="B709" s="14" t="str">
        <f aca="false">IF(A709="","",Prices!C709)</f>
        <v/>
      </c>
      <c r="C709" s="15" t="str">
        <f aca="false">IF(A709="","",IFERROR(INDEX(FX!$B:$B,MATCH(A709,FX!$A:$A,1)),""))</f>
        <v/>
      </c>
      <c r="D709" s="14" t="str">
        <f aca="false">IF(A709="","",SUMIFS(Transactions!$D:$D,Transactions!$A:$A,"&lt;="&amp;A709,Transactions!$B:$B,Settings!$B$1))</f>
        <v/>
      </c>
      <c r="E709" s="14" t="str">
        <f aca="false">IF(A709="","",SUMIFS(Transactions!$C:$C,Transactions!$A:$A,"&lt;="&amp;A709,Transactions!$B:$B,Settings!$B$1)+SUMIFS(Transactions!$F:$F,Transactions!$A:$A,"&lt;="&amp;A709,Transactions!$B:$B,Settings!$B$1))</f>
        <v/>
      </c>
      <c r="F709" s="14" t="str">
        <f aca="false">IF(A709="","",IF(C709="","",D709*B709*C709))</f>
        <v/>
      </c>
      <c r="G709" s="14" t="str">
        <f aca="false">IF(F709="","",F709-E709)</f>
        <v/>
      </c>
      <c r="H709" s="14" t="str">
        <f aca="false">IF(F709="","",IFERROR(F709-F708-(E709-E708),0))</f>
        <v/>
      </c>
    </row>
    <row r="710" customFormat="false" ht="15" hidden="false" customHeight="false" outlineLevel="0" collapsed="false">
      <c r="A710" s="13" t="str">
        <f aca="false">IF(Prices!A710="","",Prices!A710)</f>
        <v/>
      </c>
      <c r="B710" s="14" t="str">
        <f aca="false">IF(A710="","",Prices!C710)</f>
        <v/>
      </c>
      <c r="C710" s="15" t="str">
        <f aca="false">IF(A710="","",IFERROR(INDEX(FX!$B:$B,MATCH(A710,FX!$A:$A,1)),""))</f>
        <v/>
      </c>
      <c r="D710" s="14" t="str">
        <f aca="false">IF(A710="","",SUMIFS(Transactions!$D:$D,Transactions!$A:$A,"&lt;="&amp;A710,Transactions!$B:$B,Settings!$B$1))</f>
        <v/>
      </c>
      <c r="E710" s="14" t="str">
        <f aca="false">IF(A710="","",SUMIFS(Transactions!$C:$C,Transactions!$A:$A,"&lt;="&amp;A710,Transactions!$B:$B,Settings!$B$1)+SUMIFS(Transactions!$F:$F,Transactions!$A:$A,"&lt;="&amp;A710,Transactions!$B:$B,Settings!$B$1))</f>
        <v/>
      </c>
      <c r="F710" s="14" t="str">
        <f aca="false">IF(A710="","",IF(C710="","",D710*B710*C710))</f>
        <v/>
      </c>
      <c r="G710" s="14" t="str">
        <f aca="false">IF(F710="","",F710-E710)</f>
        <v/>
      </c>
      <c r="H710" s="14" t="str">
        <f aca="false">IF(F710="","",IFERROR(F710-F709-(E710-E709),0))</f>
        <v/>
      </c>
    </row>
    <row r="711" customFormat="false" ht="15" hidden="false" customHeight="false" outlineLevel="0" collapsed="false">
      <c r="A711" s="13" t="str">
        <f aca="false">IF(Prices!A711="","",Prices!A711)</f>
        <v/>
      </c>
      <c r="B711" s="14" t="str">
        <f aca="false">IF(A711="","",Prices!C711)</f>
        <v/>
      </c>
      <c r="C711" s="15" t="str">
        <f aca="false">IF(A711="","",IFERROR(INDEX(FX!$B:$B,MATCH(A711,FX!$A:$A,1)),""))</f>
        <v/>
      </c>
      <c r="D711" s="14" t="str">
        <f aca="false">IF(A711="","",SUMIFS(Transactions!$D:$D,Transactions!$A:$A,"&lt;="&amp;A711,Transactions!$B:$B,Settings!$B$1))</f>
        <v/>
      </c>
      <c r="E711" s="14" t="str">
        <f aca="false">IF(A711="","",SUMIFS(Transactions!$C:$C,Transactions!$A:$A,"&lt;="&amp;A711,Transactions!$B:$B,Settings!$B$1)+SUMIFS(Transactions!$F:$F,Transactions!$A:$A,"&lt;="&amp;A711,Transactions!$B:$B,Settings!$B$1))</f>
        <v/>
      </c>
      <c r="F711" s="14" t="str">
        <f aca="false">IF(A711="","",IF(C711="","",D711*B711*C711))</f>
        <v/>
      </c>
      <c r="G711" s="14" t="str">
        <f aca="false">IF(F711="","",F711-E711)</f>
        <v/>
      </c>
      <c r="H711" s="14" t="str">
        <f aca="false">IF(F711="","",IFERROR(F711-F710-(E711-E710),0))</f>
        <v/>
      </c>
    </row>
    <row r="712" customFormat="false" ht="15" hidden="false" customHeight="false" outlineLevel="0" collapsed="false">
      <c r="A712" s="13" t="str">
        <f aca="false">IF(Prices!A712="","",Prices!A712)</f>
        <v/>
      </c>
      <c r="B712" s="14" t="str">
        <f aca="false">IF(A712="","",Prices!C712)</f>
        <v/>
      </c>
      <c r="C712" s="15" t="str">
        <f aca="false">IF(A712="","",IFERROR(INDEX(FX!$B:$B,MATCH(A712,FX!$A:$A,1)),""))</f>
        <v/>
      </c>
      <c r="D712" s="14" t="str">
        <f aca="false">IF(A712="","",SUMIFS(Transactions!$D:$D,Transactions!$A:$A,"&lt;="&amp;A712,Transactions!$B:$B,Settings!$B$1))</f>
        <v/>
      </c>
      <c r="E712" s="14" t="str">
        <f aca="false">IF(A712="","",SUMIFS(Transactions!$C:$C,Transactions!$A:$A,"&lt;="&amp;A712,Transactions!$B:$B,Settings!$B$1)+SUMIFS(Transactions!$F:$F,Transactions!$A:$A,"&lt;="&amp;A712,Transactions!$B:$B,Settings!$B$1))</f>
        <v/>
      </c>
      <c r="F712" s="14" t="str">
        <f aca="false">IF(A712="","",IF(C712="","",D712*B712*C712))</f>
        <v/>
      </c>
      <c r="G712" s="14" t="str">
        <f aca="false">IF(F712="","",F712-E712)</f>
        <v/>
      </c>
      <c r="H712" s="14" t="str">
        <f aca="false">IF(F712="","",IFERROR(F712-F711-(E712-E711),0))</f>
        <v/>
      </c>
    </row>
    <row r="713" customFormat="false" ht="15" hidden="false" customHeight="false" outlineLevel="0" collapsed="false">
      <c r="A713" s="13" t="str">
        <f aca="false">IF(Prices!A713="","",Prices!A713)</f>
        <v/>
      </c>
      <c r="B713" s="14" t="str">
        <f aca="false">IF(A713="","",Prices!C713)</f>
        <v/>
      </c>
      <c r="C713" s="15" t="str">
        <f aca="false">IF(A713="","",IFERROR(INDEX(FX!$B:$B,MATCH(A713,FX!$A:$A,1)),""))</f>
        <v/>
      </c>
      <c r="D713" s="14" t="str">
        <f aca="false">IF(A713="","",SUMIFS(Transactions!$D:$D,Transactions!$A:$A,"&lt;="&amp;A713,Transactions!$B:$B,Settings!$B$1))</f>
        <v/>
      </c>
      <c r="E713" s="14" t="str">
        <f aca="false">IF(A713="","",SUMIFS(Transactions!$C:$C,Transactions!$A:$A,"&lt;="&amp;A713,Transactions!$B:$B,Settings!$B$1)+SUMIFS(Transactions!$F:$F,Transactions!$A:$A,"&lt;="&amp;A713,Transactions!$B:$B,Settings!$B$1))</f>
        <v/>
      </c>
      <c r="F713" s="14" t="str">
        <f aca="false">IF(A713="","",IF(C713="","",D713*B713*C713))</f>
        <v/>
      </c>
      <c r="G713" s="14" t="str">
        <f aca="false">IF(F713="","",F713-E713)</f>
        <v/>
      </c>
      <c r="H713" s="14" t="str">
        <f aca="false">IF(F713="","",IFERROR(F713-F712-(E713-E712),0))</f>
        <v/>
      </c>
    </row>
    <row r="714" customFormat="false" ht="15" hidden="false" customHeight="false" outlineLevel="0" collapsed="false">
      <c r="A714" s="13" t="str">
        <f aca="false">IF(Prices!A714="","",Prices!A714)</f>
        <v/>
      </c>
      <c r="B714" s="14" t="str">
        <f aca="false">IF(A714="","",Prices!C714)</f>
        <v/>
      </c>
      <c r="C714" s="15" t="str">
        <f aca="false">IF(A714="","",IFERROR(INDEX(FX!$B:$B,MATCH(A714,FX!$A:$A,1)),""))</f>
        <v/>
      </c>
      <c r="D714" s="14" t="str">
        <f aca="false">IF(A714="","",SUMIFS(Transactions!$D:$D,Transactions!$A:$A,"&lt;="&amp;A714,Transactions!$B:$B,Settings!$B$1))</f>
        <v/>
      </c>
      <c r="E714" s="14" t="str">
        <f aca="false">IF(A714="","",SUMIFS(Transactions!$C:$C,Transactions!$A:$A,"&lt;="&amp;A714,Transactions!$B:$B,Settings!$B$1)+SUMIFS(Transactions!$F:$F,Transactions!$A:$A,"&lt;="&amp;A714,Transactions!$B:$B,Settings!$B$1))</f>
        <v/>
      </c>
      <c r="F714" s="14" t="str">
        <f aca="false">IF(A714="","",IF(C714="","",D714*B714*C714))</f>
        <v/>
      </c>
      <c r="G714" s="14" t="str">
        <f aca="false">IF(F714="","",F714-E714)</f>
        <v/>
      </c>
      <c r="H714" s="14" t="str">
        <f aca="false">IF(F714="","",IFERROR(F714-F713-(E714-E713),0))</f>
        <v/>
      </c>
    </row>
    <row r="715" customFormat="false" ht="15" hidden="false" customHeight="false" outlineLevel="0" collapsed="false">
      <c r="A715" s="13" t="str">
        <f aca="false">IF(Prices!A715="","",Prices!A715)</f>
        <v/>
      </c>
      <c r="B715" s="14" t="str">
        <f aca="false">IF(A715="","",Prices!C715)</f>
        <v/>
      </c>
      <c r="C715" s="15" t="str">
        <f aca="false">IF(A715="","",IFERROR(INDEX(FX!$B:$B,MATCH(A715,FX!$A:$A,1)),""))</f>
        <v/>
      </c>
      <c r="D715" s="14" t="str">
        <f aca="false">IF(A715="","",SUMIFS(Transactions!$D:$D,Transactions!$A:$A,"&lt;="&amp;A715,Transactions!$B:$B,Settings!$B$1))</f>
        <v/>
      </c>
      <c r="E715" s="14" t="str">
        <f aca="false">IF(A715="","",SUMIFS(Transactions!$C:$C,Transactions!$A:$A,"&lt;="&amp;A715,Transactions!$B:$B,Settings!$B$1)+SUMIFS(Transactions!$F:$F,Transactions!$A:$A,"&lt;="&amp;A715,Transactions!$B:$B,Settings!$B$1))</f>
        <v/>
      </c>
      <c r="F715" s="14" t="str">
        <f aca="false">IF(A715="","",IF(C715="","",D715*B715*C715))</f>
        <v/>
      </c>
      <c r="G715" s="14" t="str">
        <f aca="false">IF(F715="","",F715-E715)</f>
        <v/>
      </c>
      <c r="H715" s="14" t="str">
        <f aca="false">IF(F715="","",IFERROR(F715-F714-(E715-E714),0))</f>
        <v/>
      </c>
    </row>
    <row r="716" customFormat="false" ht="15" hidden="false" customHeight="false" outlineLevel="0" collapsed="false">
      <c r="A716" s="13" t="str">
        <f aca="false">IF(Prices!A716="","",Prices!A716)</f>
        <v/>
      </c>
      <c r="B716" s="14" t="str">
        <f aca="false">IF(A716="","",Prices!C716)</f>
        <v/>
      </c>
      <c r="C716" s="15" t="str">
        <f aca="false">IF(A716="","",IFERROR(INDEX(FX!$B:$B,MATCH(A716,FX!$A:$A,1)),""))</f>
        <v/>
      </c>
      <c r="D716" s="14" t="str">
        <f aca="false">IF(A716="","",SUMIFS(Transactions!$D:$D,Transactions!$A:$A,"&lt;="&amp;A716,Transactions!$B:$B,Settings!$B$1))</f>
        <v/>
      </c>
      <c r="E716" s="14" t="str">
        <f aca="false">IF(A716="","",SUMIFS(Transactions!$C:$C,Transactions!$A:$A,"&lt;="&amp;A716,Transactions!$B:$B,Settings!$B$1)+SUMIFS(Transactions!$F:$F,Transactions!$A:$A,"&lt;="&amp;A716,Transactions!$B:$B,Settings!$B$1))</f>
        <v/>
      </c>
      <c r="F716" s="14" t="str">
        <f aca="false">IF(A716="","",IF(C716="","",D716*B716*C716))</f>
        <v/>
      </c>
      <c r="G716" s="14" t="str">
        <f aca="false">IF(F716="","",F716-E716)</f>
        <v/>
      </c>
      <c r="H716" s="14" t="str">
        <f aca="false">IF(F716="","",IFERROR(F716-F715-(E716-E715),0))</f>
        <v/>
      </c>
    </row>
    <row r="717" customFormat="false" ht="15" hidden="false" customHeight="false" outlineLevel="0" collapsed="false">
      <c r="A717" s="13" t="str">
        <f aca="false">IF(Prices!A717="","",Prices!A717)</f>
        <v/>
      </c>
      <c r="B717" s="14" t="str">
        <f aca="false">IF(A717="","",Prices!C717)</f>
        <v/>
      </c>
      <c r="C717" s="15" t="str">
        <f aca="false">IF(A717="","",IFERROR(INDEX(FX!$B:$B,MATCH(A717,FX!$A:$A,1)),""))</f>
        <v/>
      </c>
      <c r="D717" s="14" t="str">
        <f aca="false">IF(A717="","",SUMIFS(Transactions!$D:$D,Transactions!$A:$A,"&lt;="&amp;A717,Transactions!$B:$B,Settings!$B$1))</f>
        <v/>
      </c>
      <c r="E717" s="14" t="str">
        <f aca="false">IF(A717="","",SUMIFS(Transactions!$C:$C,Transactions!$A:$A,"&lt;="&amp;A717,Transactions!$B:$B,Settings!$B$1)+SUMIFS(Transactions!$F:$F,Transactions!$A:$A,"&lt;="&amp;A717,Transactions!$B:$B,Settings!$B$1))</f>
        <v/>
      </c>
      <c r="F717" s="14" t="str">
        <f aca="false">IF(A717="","",IF(C717="","",D717*B717*C717))</f>
        <v/>
      </c>
      <c r="G717" s="14" t="str">
        <f aca="false">IF(F717="","",F717-E717)</f>
        <v/>
      </c>
      <c r="H717" s="14" t="str">
        <f aca="false">IF(F717="","",IFERROR(F717-F716-(E717-E716),0))</f>
        <v/>
      </c>
    </row>
    <row r="718" customFormat="false" ht="15" hidden="false" customHeight="false" outlineLevel="0" collapsed="false">
      <c r="A718" s="13" t="str">
        <f aca="false">IF(Prices!A718="","",Prices!A718)</f>
        <v/>
      </c>
      <c r="B718" s="14" t="str">
        <f aca="false">IF(A718="","",Prices!C718)</f>
        <v/>
      </c>
      <c r="C718" s="15" t="str">
        <f aca="false">IF(A718="","",IFERROR(INDEX(FX!$B:$B,MATCH(A718,FX!$A:$A,1)),""))</f>
        <v/>
      </c>
      <c r="D718" s="14" t="str">
        <f aca="false">IF(A718="","",SUMIFS(Transactions!$D:$D,Transactions!$A:$A,"&lt;="&amp;A718,Transactions!$B:$B,Settings!$B$1))</f>
        <v/>
      </c>
      <c r="E718" s="14" t="str">
        <f aca="false">IF(A718="","",SUMIFS(Transactions!$C:$C,Transactions!$A:$A,"&lt;="&amp;A718,Transactions!$B:$B,Settings!$B$1)+SUMIFS(Transactions!$F:$F,Transactions!$A:$A,"&lt;="&amp;A718,Transactions!$B:$B,Settings!$B$1))</f>
        <v/>
      </c>
      <c r="F718" s="14" t="str">
        <f aca="false">IF(A718="","",IF(C718="","",D718*B718*C718))</f>
        <v/>
      </c>
      <c r="G718" s="14" t="str">
        <f aca="false">IF(F718="","",F718-E718)</f>
        <v/>
      </c>
      <c r="H718" s="14" t="str">
        <f aca="false">IF(F718="","",IFERROR(F718-F717-(E718-E717),0))</f>
        <v/>
      </c>
    </row>
    <row r="719" customFormat="false" ht="15" hidden="false" customHeight="false" outlineLevel="0" collapsed="false">
      <c r="A719" s="13" t="str">
        <f aca="false">IF(Prices!A719="","",Prices!A719)</f>
        <v/>
      </c>
      <c r="B719" s="14" t="str">
        <f aca="false">IF(A719="","",Prices!C719)</f>
        <v/>
      </c>
      <c r="C719" s="15" t="str">
        <f aca="false">IF(A719="","",IFERROR(INDEX(FX!$B:$B,MATCH(A719,FX!$A:$A,1)),""))</f>
        <v/>
      </c>
      <c r="D719" s="14" t="str">
        <f aca="false">IF(A719="","",SUMIFS(Transactions!$D:$D,Transactions!$A:$A,"&lt;="&amp;A719,Transactions!$B:$B,Settings!$B$1))</f>
        <v/>
      </c>
      <c r="E719" s="14" t="str">
        <f aca="false">IF(A719="","",SUMIFS(Transactions!$C:$C,Transactions!$A:$A,"&lt;="&amp;A719,Transactions!$B:$B,Settings!$B$1)+SUMIFS(Transactions!$F:$F,Transactions!$A:$A,"&lt;="&amp;A719,Transactions!$B:$B,Settings!$B$1))</f>
        <v/>
      </c>
      <c r="F719" s="14" t="str">
        <f aca="false">IF(A719="","",IF(C719="","",D719*B719*C719))</f>
        <v/>
      </c>
      <c r="G719" s="14" t="str">
        <f aca="false">IF(F719="","",F719-E719)</f>
        <v/>
      </c>
      <c r="H719" s="14" t="str">
        <f aca="false">IF(F719="","",IFERROR(F719-F718-(E719-E718),0))</f>
        <v/>
      </c>
    </row>
    <row r="720" customFormat="false" ht="15" hidden="false" customHeight="false" outlineLevel="0" collapsed="false">
      <c r="A720" s="13" t="str">
        <f aca="false">IF(Prices!A720="","",Prices!A720)</f>
        <v/>
      </c>
      <c r="B720" s="14" t="str">
        <f aca="false">IF(A720="","",Prices!C720)</f>
        <v/>
      </c>
      <c r="C720" s="15" t="str">
        <f aca="false">IF(A720="","",IFERROR(INDEX(FX!$B:$B,MATCH(A720,FX!$A:$A,1)),""))</f>
        <v/>
      </c>
      <c r="D720" s="14" t="str">
        <f aca="false">IF(A720="","",SUMIFS(Transactions!$D:$D,Transactions!$A:$A,"&lt;="&amp;A720,Transactions!$B:$B,Settings!$B$1))</f>
        <v/>
      </c>
      <c r="E720" s="14" t="str">
        <f aca="false">IF(A720="","",SUMIFS(Transactions!$C:$C,Transactions!$A:$A,"&lt;="&amp;A720,Transactions!$B:$B,Settings!$B$1)+SUMIFS(Transactions!$F:$F,Transactions!$A:$A,"&lt;="&amp;A720,Transactions!$B:$B,Settings!$B$1))</f>
        <v/>
      </c>
      <c r="F720" s="14" t="str">
        <f aca="false">IF(A720="","",IF(C720="","",D720*B720*C720))</f>
        <v/>
      </c>
      <c r="G720" s="14" t="str">
        <f aca="false">IF(F720="","",F720-E720)</f>
        <v/>
      </c>
      <c r="H720" s="14" t="str">
        <f aca="false">IF(F720="","",IFERROR(F720-F719-(E720-E719),0))</f>
        <v/>
      </c>
    </row>
    <row r="721" customFormat="false" ht="15" hidden="false" customHeight="false" outlineLevel="0" collapsed="false">
      <c r="A721" s="13" t="str">
        <f aca="false">IF(Prices!A721="","",Prices!A721)</f>
        <v/>
      </c>
      <c r="B721" s="14" t="str">
        <f aca="false">IF(A721="","",Prices!C721)</f>
        <v/>
      </c>
      <c r="C721" s="15" t="str">
        <f aca="false">IF(A721="","",IFERROR(INDEX(FX!$B:$B,MATCH(A721,FX!$A:$A,1)),""))</f>
        <v/>
      </c>
      <c r="D721" s="14" t="str">
        <f aca="false">IF(A721="","",SUMIFS(Transactions!$D:$D,Transactions!$A:$A,"&lt;="&amp;A721,Transactions!$B:$B,Settings!$B$1))</f>
        <v/>
      </c>
      <c r="E721" s="14" t="str">
        <f aca="false">IF(A721="","",SUMIFS(Transactions!$C:$C,Transactions!$A:$A,"&lt;="&amp;A721,Transactions!$B:$B,Settings!$B$1)+SUMIFS(Transactions!$F:$F,Transactions!$A:$A,"&lt;="&amp;A721,Transactions!$B:$B,Settings!$B$1))</f>
        <v/>
      </c>
      <c r="F721" s="14" t="str">
        <f aca="false">IF(A721="","",IF(C721="","",D721*B721*C721))</f>
        <v/>
      </c>
      <c r="G721" s="14" t="str">
        <f aca="false">IF(F721="","",F721-E721)</f>
        <v/>
      </c>
      <c r="H721" s="14" t="str">
        <f aca="false">IF(F721="","",IFERROR(F721-F720-(E721-E720),0))</f>
        <v/>
      </c>
    </row>
    <row r="722" customFormat="false" ht="15" hidden="false" customHeight="false" outlineLevel="0" collapsed="false">
      <c r="A722" s="13" t="str">
        <f aca="false">IF(Prices!A722="","",Prices!A722)</f>
        <v/>
      </c>
      <c r="B722" s="14" t="str">
        <f aca="false">IF(A722="","",Prices!C722)</f>
        <v/>
      </c>
      <c r="C722" s="15" t="str">
        <f aca="false">IF(A722="","",IFERROR(INDEX(FX!$B:$B,MATCH(A722,FX!$A:$A,1)),""))</f>
        <v/>
      </c>
      <c r="D722" s="14" t="str">
        <f aca="false">IF(A722="","",SUMIFS(Transactions!$D:$D,Transactions!$A:$A,"&lt;="&amp;A722,Transactions!$B:$B,Settings!$B$1))</f>
        <v/>
      </c>
      <c r="E722" s="14" t="str">
        <f aca="false">IF(A722="","",SUMIFS(Transactions!$C:$C,Transactions!$A:$A,"&lt;="&amp;A722,Transactions!$B:$B,Settings!$B$1)+SUMIFS(Transactions!$F:$F,Transactions!$A:$A,"&lt;="&amp;A722,Transactions!$B:$B,Settings!$B$1))</f>
        <v/>
      </c>
      <c r="F722" s="14" t="str">
        <f aca="false">IF(A722="","",IF(C722="","",D722*B722*C722))</f>
        <v/>
      </c>
      <c r="G722" s="14" t="str">
        <f aca="false">IF(F722="","",F722-E722)</f>
        <v/>
      </c>
      <c r="H722" s="14" t="str">
        <f aca="false">IF(F722="","",IFERROR(F722-F721-(E722-E721),0))</f>
        <v/>
      </c>
    </row>
    <row r="723" customFormat="false" ht="15" hidden="false" customHeight="false" outlineLevel="0" collapsed="false">
      <c r="A723" s="13" t="str">
        <f aca="false">IF(Prices!A723="","",Prices!A723)</f>
        <v/>
      </c>
      <c r="B723" s="14" t="str">
        <f aca="false">IF(A723="","",Prices!C723)</f>
        <v/>
      </c>
      <c r="C723" s="15" t="str">
        <f aca="false">IF(A723="","",IFERROR(INDEX(FX!$B:$B,MATCH(A723,FX!$A:$A,1)),""))</f>
        <v/>
      </c>
      <c r="D723" s="14" t="str">
        <f aca="false">IF(A723="","",SUMIFS(Transactions!$D:$D,Transactions!$A:$A,"&lt;="&amp;A723,Transactions!$B:$B,Settings!$B$1))</f>
        <v/>
      </c>
      <c r="E723" s="14" t="str">
        <f aca="false">IF(A723="","",SUMIFS(Transactions!$C:$C,Transactions!$A:$A,"&lt;="&amp;A723,Transactions!$B:$B,Settings!$B$1)+SUMIFS(Transactions!$F:$F,Transactions!$A:$A,"&lt;="&amp;A723,Transactions!$B:$B,Settings!$B$1))</f>
        <v/>
      </c>
      <c r="F723" s="14" t="str">
        <f aca="false">IF(A723="","",IF(C723="","",D723*B723*C723))</f>
        <v/>
      </c>
      <c r="G723" s="14" t="str">
        <f aca="false">IF(F723="","",F723-E723)</f>
        <v/>
      </c>
      <c r="H723" s="14" t="str">
        <f aca="false">IF(F723="","",IFERROR(F723-F722-(E723-E722),0))</f>
        <v/>
      </c>
    </row>
    <row r="724" customFormat="false" ht="15" hidden="false" customHeight="false" outlineLevel="0" collapsed="false">
      <c r="A724" s="13" t="str">
        <f aca="false">IF(Prices!A724="","",Prices!A724)</f>
        <v/>
      </c>
      <c r="B724" s="14" t="str">
        <f aca="false">IF(A724="","",Prices!C724)</f>
        <v/>
      </c>
      <c r="C724" s="15" t="str">
        <f aca="false">IF(A724="","",IFERROR(INDEX(FX!$B:$B,MATCH(A724,FX!$A:$A,1)),""))</f>
        <v/>
      </c>
      <c r="D724" s="14" t="str">
        <f aca="false">IF(A724="","",SUMIFS(Transactions!$D:$D,Transactions!$A:$A,"&lt;="&amp;A724,Transactions!$B:$B,Settings!$B$1))</f>
        <v/>
      </c>
      <c r="E724" s="14" t="str">
        <f aca="false">IF(A724="","",SUMIFS(Transactions!$C:$C,Transactions!$A:$A,"&lt;="&amp;A724,Transactions!$B:$B,Settings!$B$1)+SUMIFS(Transactions!$F:$F,Transactions!$A:$A,"&lt;="&amp;A724,Transactions!$B:$B,Settings!$B$1))</f>
        <v/>
      </c>
      <c r="F724" s="14" t="str">
        <f aca="false">IF(A724="","",IF(C724="","",D724*B724*C724))</f>
        <v/>
      </c>
      <c r="G724" s="14" t="str">
        <f aca="false">IF(F724="","",F724-E724)</f>
        <v/>
      </c>
      <c r="H724" s="14" t="str">
        <f aca="false">IF(F724="","",IFERROR(F724-F723-(E724-E723),0))</f>
        <v/>
      </c>
    </row>
    <row r="725" customFormat="false" ht="15" hidden="false" customHeight="false" outlineLevel="0" collapsed="false">
      <c r="A725" s="13" t="str">
        <f aca="false">IF(Prices!A725="","",Prices!A725)</f>
        <v/>
      </c>
      <c r="B725" s="14" t="str">
        <f aca="false">IF(A725="","",Prices!C725)</f>
        <v/>
      </c>
      <c r="C725" s="15" t="str">
        <f aca="false">IF(A725="","",IFERROR(INDEX(FX!$B:$B,MATCH(A725,FX!$A:$A,1)),""))</f>
        <v/>
      </c>
      <c r="D725" s="14" t="str">
        <f aca="false">IF(A725="","",SUMIFS(Transactions!$D:$D,Transactions!$A:$A,"&lt;="&amp;A725,Transactions!$B:$B,Settings!$B$1))</f>
        <v/>
      </c>
      <c r="E725" s="14" t="str">
        <f aca="false">IF(A725="","",SUMIFS(Transactions!$C:$C,Transactions!$A:$A,"&lt;="&amp;A725,Transactions!$B:$B,Settings!$B$1)+SUMIFS(Transactions!$F:$F,Transactions!$A:$A,"&lt;="&amp;A725,Transactions!$B:$B,Settings!$B$1))</f>
        <v/>
      </c>
      <c r="F725" s="14" t="str">
        <f aca="false">IF(A725="","",IF(C725="","",D725*B725*C725))</f>
        <v/>
      </c>
      <c r="G725" s="14" t="str">
        <f aca="false">IF(F725="","",F725-E725)</f>
        <v/>
      </c>
      <c r="H725" s="14" t="str">
        <f aca="false">IF(F725="","",IFERROR(F725-F724-(E725-E724),0))</f>
        <v/>
      </c>
    </row>
    <row r="726" customFormat="false" ht="15" hidden="false" customHeight="false" outlineLevel="0" collapsed="false">
      <c r="A726" s="13" t="str">
        <f aca="false">IF(Prices!A726="","",Prices!A726)</f>
        <v/>
      </c>
      <c r="B726" s="14" t="str">
        <f aca="false">IF(A726="","",Prices!C726)</f>
        <v/>
      </c>
      <c r="C726" s="15" t="str">
        <f aca="false">IF(A726="","",IFERROR(INDEX(FX!$B:$B,MATCH(A726,FX!$A:$A,1)),""))</f>
        <v/>
      </c>
      <c r="D726" s="14" t="str">
        <f aca="false">IF(A726="","",SUMIFS(Transactions!$D:$D,Transactions!$A:$A,"&lt;="&amp;A726,Transactions!$B:$B,Settings!$B$1))</f>
        <v/>
      </c>
      <c r="E726" s="14" t="str">
        <f aca="false">IF(A726="","",SUMIFS(Transactions!$C:$C,Transactions!$A:$A,"&lt;="&amp;A726,Transactions!$B:$B,Settings!$B$1)+SUMIFS(Transactions!$F:$F,Transactions!$A:$A,"&lt;="&amp;A726,Transactions!$B:$B,Settings!$B$1))</f>
        <v/>
      </c>
      <c r="F726" s="14" t="str">
        <f aca="false">IF(A726="","",IF(C726="","",D726*B726*C726))</f>
        <v/>
      </c>
      <c r="G726" s="14" t="str">
        <f aca="false">IF(F726="","",F726-E726)</f>
        <v/>
      </c>
      <c r="H726" s="14" t="str">
        <f aca="false">IF(F726="","",IFERROR(F726-F725-(E726-E725),0))</f>
        <v/>
      </c>
    </row>
    <row r="727" customFormat="false" ht="15" hidden="false" customHeight="false" outlineLevel="0" collapsed="false">
      <c r="A727" s="13" t="str">
        <f aca="false">IF(Prices!A727="","",Prices!A727)</f>
        <v/>
      </c>
      <c r="B727" s="14" t="str">
        <f aca="false">IF(A727="","",Prices!C727)</f>
        <v/>
      </c>
      <c r="C727" s="15" t="str">
        <f aca="false">IF(A727="","",IFERROR(INDEX(FX!$B:$B,MATCH(A727,FX!$A:$A,1)),""))</f>
        <v/>
      </c>
      <c r="D727" s="14" t="str">
        <f aca="false">IF(A727="","",SUMIFS(Transactions!$D:$D,Transactions!$A:$A,"&lt;="&amp;A727,Transactions!$B:$B,Settings!$B$1))</f>
        <v/>
      </c>
      <c r="E727" s="14" t="str">
        <f aca="false">IF(A727="","",SUMIFS(Transactions!$C:$C,Transactions!$A:$A,"&lt;="&amp;A727,Transactions!$B:$B,Settings!$B$1)+SUMIFS(Transactions!$F:$F,Transactions!$A:$A,"&lt;="&amp;A727,Transactions!$B:$B,Settings!$B$1))</f>
        <v/>
      </c>
      <c r="F727" s="14" t="str">
        <f aca="false">IF(A727="","",IF(C727="","",D727*B727*C727))</f>
        <v/>
      </c>
      <c r="G727" s="14" t="str">
        <f aca="false">IF(F727="","",F727-E727)</f>
        <v/>
      </c>
      <c r="H727" s="14" t="str">
        <f aca="false">IF(F727="","",IFERROR(F727-F726-(E727-E726),0))</f>
        <v/>
      </c>
    </row>
    <row r="728" customFormat="false" ht="15" hidden="false" customHeight="false" outlineLevel="0" collapsed="false">
      <c r="A728" s="13" t="str">
        <f aca="false">IF(Prices!A728="","",Prices!A728)</f>
        <v/>
      </c>
      <c r="B728" s="14" t="str">
        <f aca="false">IF(A728="","",Prices!C728)</f>
        <v/>
      </c>
      <c r="C728" s="15" t="str">
        <f aca="false">IF(A728="","",IFERROR(INDEX(FX!$B:$B,MATCH(A728,FX!$A:$A,1)),""))</f>
        <v/>
      </c>
      <c r="D728" s="14" t="str">
        <f aca="false">IF(A728="","",SUMIFS(Transactions!$D:$D,Transactions!$A:$A,"&lt;="&amp;A728,Transactions!$B:$B,Settings!$B$1))</f>
        <v/>
      </c>
      <c r="E728" s="14" t="str">
        <f aca="false">IF(A728="","",SUMIFS(Transactions!$C:$C,Transactions!$A:$A,"&lt;="&amp;A728,Transactions!$B:$B,Settings!$B$1)+SUMIFS(Transactions!$F:$F,Transactions!$A:$A,"&lt;="&amp;A728,Transactions!$B:$B,Settings!$B$1))</f>
        <v/>
      </c>
      <c r="F728" s="14" t="str">
        <f aca="false">IF(A728="","",IF(C728="","",D728*B728*C728))</f>
        <v/>
      </c>
      <c r="G728" s="14" t="str">
        <f aca="false">IF(F728="","",F728-E728)</f>
        <v/>
      </c>
      <c r="H728" s="14" t="str">
        <f aca="false">IF(F728="","",IFERROR(F728-F727-(E728-E727),0))</f>
        <v/>
      </c>
    </row>
    <row r="729" customFormat="false" ht="15" hidden="false" customHeight="false" outlineLevel="0" collapsed="false">
      <c r="A729" s="13" t="str">
        <f aca="false">IF(Prices!A729="","",Prices!A729)</f>
        <v/>
      </c>
      <c r="B729" s="14" t="str">
        <f aca="false">IF(A729="","",Prices!C729)</f>
        <v/>
      </c>
      <c r="C729" s="15" t="str">
        <f aca="false">IF(A729="","",IFERROR(INDEX(FX!$B:$B,MATCH(A729,FX!$A:$A,1)),""))</f>
        <v/>
      </c>
      <c r="D729" s="14" t="str">
        <f aca="false">IF(A729="","",SUMIFS(Transactions!$D:$D,Transactions!$A:$A,"&lt;="&amp;A729,Transactions!$B:$B,Settings!$B$1))</f>
        <v/>
      </c>
      <c r="E729" s="14" t="str">
        <f aca="false">IF(A729="","",SUMIFS(Transactions!$C:$C,Transactions!$A:$A,"&lt;="&amp;A729,Transactions!$B:$B,Settings!$B$1)+SUMIFS(Transactions!$F:$F,Transactions!$A:$A,"&lt;="&amp;A729,Transactions!$B:$B,Settings!$B$1))</f>
        <v/>
      </c>
      <c r="F729" s="14" t="str">
        <f aca="false">IF(A729="","",IF(C729="","",D729*B729*C729))</f>
        <v/>
      </c>
      <c r="G729" s="14" t="str">
        <f aca="false">IF(F729="","",F729-E729)</f>
        <v/>
      </c>
      <c r="H729" s="14" t="str">
        <f aca="false">IF(F729="","",IFERROR(F729-F728-(E729-E728),0))</f>
        <v/>
      </c>
    </row>
    <row r="730" customFormat="false" ht="15" hidden="false" customHeight="false" outlineLevel="0" collapsed="false">
      <c r="A730" s="13" t="str">
        <f aca="false">IF(Prices!A730="","",Prices!A730)</f>
        <v/>
      </c>
      <c r="B730" s="14" t="str">
        <f aca="false">IF(A730="","",Prices!C730)</f>
        <v/>
      </c>
      <c r="C730" s="15" t="str">
        <f aca="false">IF(A730="","",IFERROR(INDEX(FX!$B:$B,MATCH(A730,FX!$A:$A,1)),""))</f>
        <v/>
      </c>
      <c r="D730" s="14" t="str">
        <f aca="false">IF(A730="","",SUMIFS(Transactions!$D:$D,Transactions!$A:$A,"&lt;="&amp;A730,Transactions!$B:$B,Settings!$B$1))</f>
        <v/>
      </c>
      <c r="E730" s="14" t="str">
        <f aca="false">IF(A730="","",SUMIFS(Transactions!$C:$C,Transactions!$A:$A,"&lt;="&amp;A730,Transactions!$B:$B,Settings!$B$1)+SUMIFS(Transactions!$F:$F,Transactions!$A:$A,"&lt;="&amp;A730,Transactions!$B:$B,Settings!$B$1))</f>
        <v/>
      </c>
      <c r="F730" s="14" t="str">
        <f aca="false">IF(A730="","",IF(C730="","",D730*B730*C730))</f>
        <v/>
      </c>
      <c r="G730" s="14" t="str">
        <f aca="false">IF(F730="","",F730-E730)</f>
        <v/>
      </c>
      <c r="H730" s="14" t="str">
        <f aca="false">IF(F730="","",IFERROR(F730-F729-(E730-E729),0))</f>
        <v/>
      </c>
    </row>
    <row r="731" customFormat="false" ht="15" hidden="false" customHeight="false" outlineLevel="0" collapsed="false">
      <c r="A731" s="13" t="str">
        <f aca="false">IF(Prices!A731="","",Prices!A731)</f>
        <v/>
      </c>
      <c r="B731" s="14" t="str">
        <f aca="false">IF(A731="","",Prices!C731)</f>
        <v/>
      </c>
      <c r="C731" s="15" t="str">
        <f aca="false">IF(A731="","",IFERROR(INDEX(FX!$B:$B,MATCH(A731,FX!$A:$A,1)),""))</f>
        <v/>
      </c>
      <c r="D731" s="14" t="str">
        <f aca="false">IF(A731="","",SUMIFS(Transactions!$D:$D,Transactions!$A:$A,"&lt;="&amp;A731,Transactions!$B:$B,Settings!$B$1))</f>
        <v/>
      </c>
      <c r="E731" s="14" t="str">
        <f aca="false">IF(A731="","",SUMIFS(Transactions!$C:$C,Transactions!$A:$A,"&lt;="&amp;A731,Transactions!$B:$B,Settings!$B$1)+SUMIFS(Transactions!$F:$F,Transactions!$A:$A,"&lt;="&amp;A731,Transactions!$B:$B,Settings!$B$1))</f>
        <v/>
      </c>
      <c r="F731" s="14" t="str">
        <f aca="false">IF(A731="","",IF(C731="","",D731*B731*C731))</f>
        <v/>
      </c>
      <c r="G731" s="14" t="str">
        <f aca="false">IF(F731="","",F731-E731)</f>
        <v/>
      </c>
      <c r="H731" s="14" t="str">
        <f aca="false">IF(F731="","",IFERROR(F731-F730-(E731-E730),0))</f>
        <v/>
      </c>
    </row>
    <row r="732" customFormat="false" ht="15" hidden="false" customHeight="false" outlineLevel="0" collapsed="false">
      <c r="A732" s="13" t="str">
        <f aca="false">IF(Prices!A732="","",Prices!A732)</f>
        <v/>
      </c>
      <c r="B732" s="14" t="str">
        <f aca="false">IF(A732="","",Prices!C732)</f>
        <v/>
      </c>
      <c r="C732" s="15" t="str">
        <f aca="false">IF(A732="","",IFERROR(INDEX(FX!$B:$B,MATCH(A732,FX!$A:$A,1)),""))</f>
        <v/>
      </c>
      <c r="D732" s="14" t="str">
        <f aca="false">IF(A732="","",SUMIFS(Transactions!$D:$D,Transactions!$A:$A,"&lt;="&amp;A732,Transactions!$B:$B,Settings!$B$1))</f>
        <v/>
      </c>
      <c r="E732" s="14" t="str">
        <f aca="false">IF(A732="","",SUMIFS(Transactions!$C:$C,Transactions!$A:$A,"&lt;="&amp;A732,Transactions!$B:$B,Settings!$B$1)+SUMIFS(Transactions!$F:$F,Transactions!$A:$A,"&lt;="&amp;A732,Transactions!$B:$B,Settings!$B$1))</f>
        <v/>
      </c>
      <c r="F732" s="14" t="str">
        <f aca="false">IF(A732="","",IF(C732="","",D732*B732*C732))</f>
        <v/>
      </c>
      <c r="G732" s="14" t="str">
        <f aca="false">IF(F732="","",F732-E732)</f>
        <v/>
      </c>
      <c r="H732" s="14" t="str">
        <f aca="false">IF(F732="","",IFERROR(F732-F731-(E732-E731),0))</f>
        <v/>
      </c>
    </row>
    <row r="733" customFormat="false" ht="15" hidden="false" customHeight="false" outlineLevel="0" collapsed="false">
      <c r="A733" s="13" t="str">
        <f aca="false">IF(Prices!A733="","",Prices!A733)</f>
        <v/>
      </c>
      <c r="B733" s="14" t="str">
        <f aca="false">IF(A733="","",Prices!C733)</f>
        <v/>
      </c>
      <c r="C733" s="15" t="str">
        <f aca="false">IF(A733="","",IFERROR(INDEX(FX!$B:$B,MATCH(A733,FX!$A:$A,1)),""))</f>
        <v/>
      </c>
      <c r="D733" s="14" t="str">
        <f aca="false">IF(A733="","",SUMIFS(Transactions!$D:$D,Transactions!$A:$A,"&lt;="&amp;A733,Transactions!$B:$B,Settings!$B$1))</f>
        <v/>
      </c>
      <c r="E733" s="14" t="str">
        <f aca="false">IF(A733="","",SUMIFS(Transactions!$C:$C,Transactions!$A:$A,"&lt;="&amp;A733,Transactions!$B:$B,Settings!$B$1)+SUMIFS(Transactions!$F:$F,Transactions!$A:$A,"&lt;="&amp;A733,Transactions!$B:$B,Settings!$B$1))</f>
        <v/>
      </c>
      <c r="F733" s="14" t="str">
        <f aca="false">IF(A733="","",IF(C733="","",D733*B733*C733))</f>
        <v/>
      </c>
      <c r="G733" s="14" t="str">
        <f aca="false">IF(F733="","",F733-E733)</f>
        <v/>
      </c>
      <c r="H733" s="14" t="str">
        <f aca="false">IF(F733="","",IFERROR(F733-F732-(E733-E732),0))</f>
        <v/>
      </c>
    </row>
    <row r="734" customFormat="false" ht="15" hidden="false" customHeight="false" outlineLevel="0" collapsed="false">
      <c r="A734" s="13" t="str">
        <f aca="false">IF(Prices!A734="","",Prices!A734)</f>
        <v/>
      </c>
      <c r="B734" s="14" t="str">
        <f aca="false">IF(A734="","",Prices!C734)</f>
        <v/>
      </c>
      <c r="C734" s="15" t="str">
        <f aca="false">IF(A734="","",IFERROR(INDEX(FX!$B:$B,MATCH(A734,FX!$A:$A,1)),""))</f>
        <v/>
      </c>
      <c r="D734" s="14" t="str">
        <f aca="false">IF(A734="","",SUMIFS(Transactions!$D:$D,Transactions!$A:$A,"&lt;="&amp;A734,Transactions!$B:$B,Settings!$B$1))</f>
        <v/>
      </c>
      <c r="E734" s="14" t="str">
        <f aca="false">IF(A734="","",SUMIFS(Transactions!$C:$C,Transactions!$A:$A,"&lt;="&amp;A734,Transactions!$B:$B,Settings!$B$1)+SUMIFS(Transactions!$F:$F,Transactions!$A:$A,"&lt;="&amp;A734,Transactions!$B:$B,Settings!$B$1))</f>
        <v/>
      </c>
      <c r="F734" s="14" t="str">
        <f aca="false">IF(A734="","",IF(C734="","",D734*B734*C734))</f>
        <v/>
      </c>
      <c r="G734" s="14" t="str">
        <f aca="false">IF(F734="","",F734-E734)</f>
        <v/>
      </c>
      <c r="H734" s="14" t="str">
        <f aca="false">IF(F734="","",IFERROR(F734-F733-(E734-E733),0))</f>
        <v/>
      </c>
    </row>
    <row r="735" customFormat="false" ht="15" hidden="false" customHeight="false" outlineLevel="0" collapsed="false">
      <c r="A735" s="13" t="str">
        <f aca="false">IF(Prices!A735="","",Prices!A735)</f>
        <v/>
      </c>
      <c r="B735" s="14" t="str">
        <f aca="false">IF(A735="","",Prices!C735)</f>
        <v/>
      </c>
      <c r="C735" s="15" t="str">
        <f aca="false">IF(A735="","",IFERROR(INDEX(FX!$B:$B,MATCH(A735,FX!$A:$A,1)),""))</f>
        <v/>
      </c>
      <c r="D735" s="14" t="str">
        <f aca="false">IF(A735="","",SUMIFS(Transactions!$D:$D,Transactions!$A:$A,"&lt;="&amp;A735,Transactions!$B:$B,Settings!$B$1))</f>
        <v/>
      </c>
      <c r="E735" s="14" t="str">
        <f aca="false">IF(A735="","",SUMIFS(Transactions!$C:$C,Transactions!$A:$A,"&lt;="&amp;A735,Transactions!$B:$B,Settings!$B$1)+SUMIFS(Transactions!$F:$F,Transactions!$A:$A,"&lt;="&amp;A735,Transactions!$B:$B,Settings!$B$1))</f>
        <v/>
      </c>
      <c r="F735" s="14" t="str">
        <f aca="false">IF(A735="","",IF(C735="","",D735*B735*C735))</f>
        <v/>
      </c>
      <c r="G735" s="14" t="str">
        <f aca="false">IF(F735="","",F735-E735)</f>
        <v/>
      </c>
      <c r="H735" s="14" t="str">
        <f aca="false">IF(F735="","",IFERROR(F735-F734-(E735-E734),0))</f>
        <v/>
      </c>
    </row>
    <row r="736" customFormat="false" ht="15" hidden="false" customHeight="false" outlineLevel="0" collapsed="false">
      <c r="A736" s="13" t="str">
        <f aca="false">IF(Prices!A736="","",Prices!A736)</f>
        <v/>
      </c>
      <c r="B736" s="14" t="str">
        <f aca="false">IF(A736="","",Prices!C736)</f>
        <v/>
      </c>
      <c r="C736" s="15" t="str">
        <f aca="false">IF(A736="","",IFERROR(INDEX(FX!$B:$B,MATCH(A736,FX!$A:$A,1)),""))</f>
        <v/>
      </c>
      <c r="D736" s="14" t="str">
        <f aca="false">IF(A736="","",SUMIFS(Transactions!$D:$D,Transactions!$A:$A,"&lt;="&amp;A736,Transactions!$B:$B,Settings!$B$1))</f>
        <v/>
      </c>
      <c r="E736" s="14" t="str">
        <f aca="false">IF(A736="","",SUMIFS(Transactions!$C:$C,Transactions!$A:$A,"&lt;="&amp;A736,Transactions!$B:$B,Settings!$B$1)+SUMIFS(Transactions!$F:$F,Transactions!$A:$A,"&lt;="&amp;A736,Transactions!$B:$B,Settings!$B$1))</f>
        <v/>
      </c>
      <c r="F736" s="14" t="str">
        <f aca="false">IF(A736="","",IF(C736="","",D736*B736*C736))</f>
        <v/>
      </c>
      <c r="G736" s="14" t="str">
        <f aca="false">IF(F736="","",F736-E736)</f>
        <v/>
      </c>
      <c r="H736" s="14" t="str">
        <f aca="false">IF(F736="","",IFERROR(F736-F735-(E736-E735),0))</f>
        <v/>
      </c>
    </row>
    <row r="737" customFormat="false" ht="15" hidden="false" customHeight="false" outlineLevel="0" collapsed="false">
      <c r="A737" s="13" t="str">
        <f aca="false">IF(Prices!A737="","",Prices!A737)</f>
        <v/>
      </c>
      <c r="B737" s="14" t="str">
        <f aca="false">IF(A737="","",Prices!C737)</f>
        <v/>
      </c>
      <c r="C737" s="15" t="str">
        <f aca="false">IF(A737="","",IFERROR(INDEX(FX!$B:$B,MATCH(A737,FX!$A:$A,1)),""))</f>
        <v/>
      </c>
      <c r="D737" s="14" t="str">
        <f aca="false">IF(A737="","",SUMIFS(Transactions!$D:$D,Transactions!$A:$A,"&lt;="&amp;A737,Transactions!$B:$B,Settings!$B$1))</f>
        <v/>
      </c>
      <c r="E737" s="14" t="str">
        <f aca="false">IF(A737="","",SUMIFS(Transactions!$C:$C,Transactions!$A:$A,"&lt;="&amp;A737,Transactions!$B:$B,Settings!$B$1)+SUMIFS(Transactions!$F:$F,Transactions!$A:$A,"&lt;="&amp;A737,Transactions!$B:$B,Settings!$B$1))</f>
        <v/>
      </c>
      <c r="F737" s="14" t="str">
        <f aca="false">IF(A737="","",IF(C737="","",D737*B737*C737))</f>
        <v/>
      </c>
      <c r="G737" s="14" t="str">
        <f aca="false">IF(F737="","",F737-E737)</f>
        <v/>
      </c>
      <c r="H737" s="14" t="str">
        <f aca="false">IF(F737="","",IFERROR(F737-F736-(E737-E736),0))</f>
        <v/>
      </c>
    </row>
    <row r="738" customFormat="false" ht="15" hidden="false" customHeight="false" outlineLevel="0" collapsed="false">
      <c r="A738" s="13" t="str">
        <f aca="false">IF(Prices!A738="","",Prices!A738)</f>
        <v/>
      </c>
      <c r="B738" s="14" t="str">
        <f aca="false">IF(A738="","",Prices!C738)</f>
        <v/>
      </c>
      <c r="C738" s="15" t="str">
        <f aca="false">IF(A738="","",IFERROR(INDEX(FX!$B:$B,MATCH(A738,FX!$A:$A,1)),""))</f>
        <v/>
      </c>
      <c r="D738" s="14" t="str">
        <f aca="false">IF(A738="","",SUMIFS(Transactions!$D:$D,Transactions!$A:$A,"&lt;="&amp;A738,Transactions!$B:$B,Settings!$B$1))</f>
        <v/>
      </c>
      <c r="E738" s="14" t="str">
        <f aca="false">IF(A738="","",SUMIFS(Transactions!$C:$C,Transactions!$A:$A,"&lt;="&amp;A738,Transactions!$B:$B,Settings!$B$1)+SUMIFS(Transactions!$F:$F,Transactions!$A:$A,"&lt;="&amp;A738,Transactions!$B:$B,Settings!$B$1))</f>
        <v/>
      </c>
      <c r="F738" s="14" t="str">
        <f aca="false">IF(A738="","",IF(C738="","",D738*B738*C738))</f>
        <v/>
      </c>
      <c r="G738" s="14" t="str">
        <f aca="false">IF(F738="","",F738-E738)</f>
        <v/>
      </c>
      <c r="H738" s="14" t="str">
        <f aca="false">IF(F738="","",IFERROR(F738-F737-(E738-E737),0))</f>
        <v/>
      </c>
    </row>
    <row r="739" customFormat="false" ht="15" hidden="false" customHeight="false" outlineLevel="0" collapsed="false">
      <c r="A739" s="13" t="str">
        <f aca="false">IF(Prices!A739="","",Prices!A739)</f>
        <v/>
      </c>
      <c r="B739" s="14" t="str">
        <f aca="false">IF(A739="","",Prices!C739)</f>
        <v/>
      </c>
      <c r="C739" s="15" t="str">
        <f aca="false">IF(A739="","",IFERROR(INDEX(FX!$B:$B,MATCH(A739,FX!$A:$A,1)),""))</f>
        <v/>
      </c>
      <c r="D739" s="14" t="str">
        <f aca="false">IF(A739="","",SUMIFS(Transactions!$D:$D,Transactions!$A:$A,"&lt;="&amp;A739,Transactions!$B:$B,Settings!$B$1))</f>
        <v/>
      </c>
      <c r="E739" s="14" t="str">
        <f aca="false">IF(A739="","",SUMIFS(Transactions!$C:$C,Transactions!$A:$A,"&lt;="&amp;A739,Transactions!$B:$B,Settings!$B$1)+SUMIFS(Transactions!$F:$F,Transactions!$A:$A,"&lt;="&amp;A739,Transactions!$B:$B,Settings!$B$1))</f>
        <v/>
      </c>
      <c r="F739" s="14" t="str">
        <f aca="false">IF(A739="","",IF(C739="","",D739*B739*C739))</f>
        <v/>
      </c>
      <c r="G739" s="14" t="str">
        <f aca="false">IF(F739="","",F739-E739)</f>
        <v/>
      </c>
      <c r="H739" s="14" t="str">
        <f aca="false">IF(F739="","",IFERROR(F739-F738-(E739-E738),0))</f>
        <v/>
      </c>
    </row>
    <row r="740" customFormat="false" ht="15" hidden="false" customHeight="false" outlineLevel="0" collapsed="false">
      <c r="A740" s="13" t="str">
        <f aca="false">IF(Prices!A740="","",Prices!A740)</f>
        <v/>
      </c>
      <c r="B740" s="14" t="str">
        <f aca="false">IF(A740="","",Prices!C740)</f>
        <v/>
      </c>
      <c r="C740" s="15" t="str">
        <f aca="false">IF(A740="","",IFERROR(INDEX(FX!$B:$B,MATCH(A740,FX!$A:$A,1)),""))</f>
        <v/>
      </c>
      <c r="D740" s="14" t="str">
        <f aca="false">IF(A740="","",SUMIFS(Transactions!$D:$D,Transactions!$A:$A,"&lt;="&amp;A740,Transactions!$B:$B,Settings!$B$1))</f>
        <v/>
      </c>
      <c r="E740" s="14" t="str">
        <f aca="false">IF(A740="","",SUMIFS(Transactions!$C:$C,Transactions!$A:$A,"&lt;="&amp;A740,Transactions!$B:$B,Settings!$B$1)+SUMIFS(Transactions!$F:$F,Transactions!$A:$A,"&lt;="&amp;A740,Transactions!$B:$B,Settings!$B$1))</f>
        <v/>
      </c>
      <c r="F740" s="14" t="str">
        <f aca="false">IF(A740="","",IF(C740="","",D740*B740*C740))</f>
        <v/>
      </c>
      <c r="G740" s="14" t="str">
        <f aca="false">IF(F740="","",F740-E740)</f>
        <v/>
      </c>
      <c r="H740" s="14" t="str">
        <f aca="false">IF(F740="","",IFERROR(F740-F739-(E740-E739),0))</f>
        <v/>
      </c>
    </row>
    <row r="741" customFormat="false" ht="15" hidden="false" customHeight="false" outlineLevel="0" collapsed="false">
      <c r="A741" s="13" t="str">
        <f aca="false">IF(Prices!A741="","",Prices!A741)</f>
        <v/>
      </c>
      <c r="B741" s="14" t="str">
        <f aca="false">IF(A741="","",Prices!C741)</f>
        <v/>
      </c>
      <c r="C741" s="15" t="str">
        <f aca="false">IF(A741="","",IFERROR(INDEX(FX!$B:$B,MATCH(A741,FX!$A:$A,1)),""))</f>
        <v/>
      </c>
      <c r="D741" s="14" t="str">
        <f aca="false">IF(A741="","",SUMIFS(Transactions!$D:$D,Transactions!$A:$A,"&lt;="&amp;A741,Transactions!$B:$B,Settings!$B$1))</f>
        <v/>
      </c>
      <c r="E741" s="14" t="str">
        <f aca="false">IF(A741="","",SUMIFS(Transactions!$C:$C,Transactions!$A:$A,"&lt;="&amp;A741,Transactions!$B:$B,Settings!$B$1)+SUMIFS(Transactions!$F:$F,Transactions!$A:$A,"&lt;="&amp;A741,Transactions!$B:$B,Settings!$B$1))</f>
        <v/>
      </c>
      <c r="F741" s="14" t="str">
        <f aca="false">IF(A741="","",IF(C741="","",D741*B741*C741))</f>
        <v/>
      </c>
      <c r="G741" s="14" t="str">
        <f aca="false">IF(F741="","",F741-E741)</f>
        <v/>
      </c>
      <c r="H741" s="14" t="str">
        <f aca="false">IF(F741="","",IFERROR(F741-F740-(E741-E740),0))</f>
        <v/>
      </c>
    </row>
    <row r="742" customFormat="false" ht="15" hidden="false" customHeight="false" outlineLevel="0" collapsed="false">
      <c r="A742" s="13" t="str">
        <f aca="false">IF(Prices!A742="","",Prices!A742)</f>
        <v/>
      </c>
      <c r="B742" s="14" t="str">
        <f aca="false">IF(A742="","",Prices!C742)</f>
        <v/>
      </c>
      <c r="C742" s="15" t="str">
        <f aca="false">IF(A742="","",IFERROR(INDEX(FX!$B:$B,MATCH(A742,FX!$A:$A,1)),""))</f>
        <v/>
      </c>
      <c r="D742" s="14" t="str">
        <f aca="false">IF(A742="","",SUMIFS(Transactions!$D:$D,Transactions!$A:$A,"&lt;="&amp;A742,Transactions!$B:$B,Settings!$B$1))</f>
        <v/>
      </c>
      <c r="E742" s="14" t="str">
        <f aca="false">IF(A742="","",SUMIFS(Transactions!$C:$C,Transactions!$A:$A,"&lt;="&amp;A742,Transactions!$B:$B,Settings!$B$1)+SUMIFS(Transactions!$F:$F,Transactions!$A:$A,"&lt;="&amp;A742,Transactions!$B:$B,Settings!$B$1))</f>
        <v/>
      </c>
      <c r="F742" s="14" t="str">
        <f aca="false">IF(A742="","",IF(C742="","",D742*B742*C742))</f>
        <v/>
      </c>
      <c r="G742" s="14" t="str">
        <f aca="false">IF(F742="","",F742-E742)</f>
        <v/>
      </c>
      <c r="H742" s="14" t="str">
        <f aca="false">IF(F742="","",IFERROR(F742-F741-(E742-E741),0))</f>
        <v/>
      </c>
    </row>
    <row r="743" customFormat="false" ht="15" hidden="false" customHeight="false" outlineLevel="0" collapsed="false">
      <c r="A743" s="13" t="str">
        <f aca="false">IF(Prices!A743="","",Prices!A743)</f>
        <v/>
      </c>
      <c r="B743" s="14" t="str">
        <f aca="false">IF(A743="","",Prices!C743)</f>
        <v/>
      </c>
      <c r="C743" s="15" t="str">
        <f aca="false">IF(A743="","",IFERROR(INDEX(FX!$B:$B,MATCH(A743,FX!$A:$A,1)),""))</f>
        <v/>
      </c>
      <c r="D743" s="14" t="str">
        <f aca="false">IF(A743="","",SUMIFS(Transactions!$D:$D,Transactions!$A:$A,"&lt;="&amp;A743,Transactions!$B:$B,Settings!$B$1))</f>
        <v/>
      </c>
      <c r="E743" s="14" t="str">
        <f aca="false">IF(A743="","",SUMIFS(Transactions!$C:$C,Transactions!$A:$A,"&lt;="&amp;A743,Transactions!$B:$B,Settings!$B$1)+SUMIFS(Transactions!$F:$F,Transactions!$A:$A,"&lt;="&amp;A743,Transactions!$B:$B,Settings!$B$1))</f>
        <v/>
      </c>
      <c r="F743" s="14" t="str">
        <f aca="false">IF(A743="","",IF(C743="","",D743*B743*C743))</f>
        <v/>
      </c>
      <c r="G743" s="14" t="str">
        <f aca="false">IF(F743="","",F743-E743)</f>
        <v/>
      </c>
      <c r="H743" s="14" t="str">
        <f aca="false">IF(F743="","",IFERROR(F743-F742-(E743-E742),0))</f>
        <v/>
      </c>
    </row>
    <row r="744" customFormat="false" ht="15" hidden="false" customHeight="false" outlineLevel="0" collapsed="false">
      <c r="A744" s="13" t="str">
        <f aca="false">IF(Prices!A744="","",Prices!A744)</f>
        <v/>
      </c>
      <c r="B744" s="14" t="str">
        <f aca="false">IF(A744="","",Prices!C744)</f>
        <v/>
      </c>
      <c r="C744" s="15" t="str">
        <f aca="false">IF(A744="","",IFERROR(INDEX(FX!$B:$B,MATCH(A744,FX!$A:$A,1)),""))</f>
        <v/>
      </c>
      <c r="D744" s="14" t="str">
        <f aca="false">IF(A744="","",SUMIFS(Transactions!$D:$D,Transactions!$A:$A,"&lt;="&amp;A744,Transactions!$B:$B,Settings!$B$1))</f>
        <v/>
      </c>
      <c r="E744" s="14" t="str">
        <f aca="false">IF(A744="","",SUMIFS(Transactions!$C:$C,Transactions!$A:$A,"&lt;="&amp;A744,Transactions!$B:$B,Settings!$B$1)+SUMIFS(Transactions!$F:$F,Transactions!$A:$A,"&lt;="&amp;A744,Transactions!$B:$B,Settings!$B$1))</f>
        <v/>
      </c>
      <c r="F744" s="14" t="str">
        <f aca="false">IF(A744="","",IF(C744="","",D744*B744*C744))</f>
        <v/>
      </c>
      <c r="G744" s="14" t="str">
        <f aca="false">IF(F744="","",F744-E744)</f>
        <v/>
      </c>
      <c r="H744" s="14" t="str">
        <f aca="false">IF(F744="","",IFERROR(F744-F743-(E744-E743),0))</f>
        <v/>
      </c>
    </row>
    <row r="745" customFormat="false" ht="15" hidden="false" customHeight="false" outlineLevel="0" collapsed="false">
      <c r="A745" s="13" t="str">
        <f aca="false">IF(Prices!A745="","",Prices!A745)</f>
        <v/>
      </c>
      <c r="B745" s="14" t="str">
        <f aca="false">IF(A745="","",Prices!C745)</f>
        <v/>
      </c>
      <c r="C745" s="15" t="str">
        <f aca="false">IF(A745="","",IFERROR(INDEX(FX!$B:$B,MATCH(A745,FX!$A:$A,1)),""))</f>
        <v/>
      </c>
      <c r="D745" s="14" t="str">
        <f aca="false">IF(A745="","",SUMIFS(Transactions!$D:$D,Transactions!$A:$A,"&lt;="&amp;A745,Transactions!$B:$B,Settings!$B$1))</f>
        <v/>
      </c>
      <c r="E745" s="14" t="str">
        <f aca="false">IF(A745="","",SUMIFS(Transactions!$C:$C,Transactions!$A:$A,"&lt;="&amp;A745,Transactions!$B:$B,Settings!$B$1)+SUMIFS(Transactions!$F:$F,Transactions!$A:$A,"&lt;="&amp;A745,Transactions!$B:$B,Settings!$B$1))</f>
        <v/>
      </c>
      <c r="F745" s="14" t="str">
        <f aca="false">IF(A745="","",IF(C745="","",D745*B745*C745))</f>
        <v/>
      </c>
      <c r="G745" s="14" t="str">
        <f aca="false">IF(F745="","",F745-E745)</f>
        <v/>
      </c>
      <c r="H745" s="14" t="str">
        <f aca="false">IF(F745="","",IFERROR(F745-F744-(E745-E744),0))</f>
        <v/>
      </c>
    </row>
    <row r="746" customFormat="false" ht="15" hidden="false" customHeight="false" outlineLevel="0" collapsed="false">
      <c r="A746" s="13" t="str">
        <f aca="false">IF(Prices!A746="","",Prices!A746)</f>
        <v/>
      </c>
      <c r="B746" s="14" t="str">
        <f aca="false">IF(A746="","",Prices!C746)</f>
        <v/>
      </c>
      <c r="C746" s="15" t="str">
        <f aca="false">IF(A746="","",IFERROR(INDEX(FX!$B:$B,MATCH(A746,FX!$A:$A,1)),""))</f>
        <v/>
      </c>
      <c r="D746" s="14" t="str">
        <f aca="false">IF(A746="","",SUMIFS(Transactions!$D:$D,Transactions!$A:$A,"&lt;="&amp;A746,Transactions!$B:$B,Settings!$B$1))</f>
        <v/>
      </c>
      <c r="E746" s="14" t="str">
        <f aca="false">IF(A746="","",SUMIFS(Transactions!$C:$C,Transactions!$A:$A,"&lt;="&amp;A746,Transactions!$B:$B,Settings!$B$1)+SUMIFS(Transactions!$F:$F,Transactions!$A:$A,"&lt;="&amp;A746,Transactions!$B:$B,Settings!$B$1))</f>
        <v/>
      </c>
      <c r="F746" s="14" t="str">
        <f aca="false">IF(A746="","",IF(C746="","",D746*B746*C746))</f>
        <v/>
      </c>
      <c r="G746" s="14" t="str">
        <f aca="false">IF(F746="","",F746-E746)</f>
        <v/>
      </c>
      <c r="H746" s="14" t="str">
        <f aca="false">IF(F746="","",IFERROR(F746-F745-(E746-E745),0))</f>
        <v/>
      </c>
    </row>
    <row r="747" customFormat="false" ht="15" hidden="false" customHeight="false" outlineLevel="0" collapsed="false">
      <c r="A747" s="13" t="str">
        <f aca="false">IF(Prices!A747="","",Prices!A747)</f>
        <v/>
      </c>
      <c r="B747" s="14" t="str">
        <f aca="false">IF(A747="","",Prices!C747)</f>
        <v/>
      </c>
      <c r="C747" s="15" t="str">
        <f aca="false">IF(A747="","",IFERROR(INDEX(FX!$B:$B,MATCH(A747,FX!$A:$A,1)),""))</f>
        <v/>
      </c>
      <c r="D747" s="14" t="str">
        <f aca="false">IF(A747="","",SUMIFS(Transactions!$D:$D,Transactions!$A:$A,"&lt;="&amp;A747,Transactions!$B:$B,Settings!$B$1))</f>
        <v/>
      </c>
      <c r="E747" s="14" t="str">
        <f aca="false">IF(A747="","",SUMIFS(Transactions!$C:$C,Transactions!$A:$A,"&lt;="&amp;A747,Transactions!$B:$B,Settings!$B$1)+SUMIFS(Transactions!$F:$F,Transactions!$A:$A,"&lt;="&amp;A747,Transactions!$B:$B,Settings!$B$1))</f>
        <v/>
      </c>
      <c r="F747" s="14" t="str">
        <f aca="false">IF(A747="","",IF(C747="","",D747*B747*C747))</f>
        <v/>
      </c>
      <c r="G747" s="14" t="str">
        <f aca="false">IF(F747="","",F747-E747)</f>
        <v/>
      </c>
      <c r="H747" s="14" t="str">
        <f aca="false">IF(F747="","",IFERROR(F747-F746-(E747-E746),0))</f>
        <v/>
      </c>
    </row>
    <row r="748" customFormat="false" ht="15" hidden="false" customHeight="false" outlineLevel="0" collapsed="false">
      <c r="A748" s="13" t="str">
        <f aca="false">IF(Prices!A748="","",Prices!A748)</f>
        <v/>
      </c>
      <c r="B748" s="14" t="str">
        <f aca="false">IF(A748="","",Prices!C748)</f>
        <v/>
      </c>
      <c r="C748" s="15" t="str">
        <f aca="false">IF(A748="","",IFERROR(INDEX(FX!$B:$B,MATCH(A748,FX!$A:$A,1)),""))</f>
        <v/>
      </c>
      <c r="D748" s="14" t="str">
        <f aca="false">IF(A748="","",SUMIFS(Transactions!$D:$D,Transactions!$A:$A,"&lt;="&amp;A748,Transactions!$B:$B,Settings!$B$1))</f>
        <v/>
      </c>
      <c r="E748" s="14" t="str">
        <f aca="false">IF(A748="","",SUMIFS(Transactions!$C:$C,Transactions!$A:$A,"&lt;="&amp;A748,Transactions!$B:$B,Settings!$B$1)+SUMIFS(Transactions!$F:$F,Transactions!$A:$A,"&lt;="&amp;A748,Transactions!$B:$B,Settings!$B$1))</f>
        <v/>
      </c>
      <c r="F748" s="14" t="str">
        <f aca="false">IF(A748="","",IF(C748="","",D748*B748*C748))</f>
        <v/>
      </c>
      <c r="G748" s="14" t="str">
        <f aca="false">IF(F748="","",F748-E748)</f>
        <v/>
      </c>
      <c r="H748" s="14" t="str">
        <f aca="false">IF(F748="","",IFERROR(F748-F747-(E748-E747),0))</f>
        <v/>
      </c>
    </row>
    <row r="749" customFormat="false" ht="15" hidden="false" customHeight="false" outlineLevel="0" collapsed="false">
      <c r="A749" s="13" t="str">
        <f aca="false">IF(Prices!A749="","",Prices!A749)</f>
        <v/>
      </c>
      <c r="B749" s="14" t="str">
        <f aca="false">IF(A749="","",Prices!C749)</f>
        <v/>
      </c>
      <c r="C749" s="15" t="str">
        <f aca="false">IF(A749="","",IFERROR(INDEX(FX!$B:$B,MATCH(A749,FX!$A:$A,1)),""))</f>
        <v/>
      </c>
      <c r="D749" s="14" t="str">
        <f aca="false">IF(A749="","",SUMIFS(Transactions!$D:$D,Transactions!$A:$A,"&lt;="&amp;A749,Transactions!$B:$B,Settings!$B$1))</f>
        <v/>
      </c>
      <c r="E749" s="14" t="str">
        <f aca="false">IF(A749="","",SUMIFS(Transactions!$C:$C,Transactions!$A:$A,"&lt;="&amp;A749,Transactions!$B:$B,Settings!$B$1)+SUMIFS(Transactions!$F:$F,Transactions!$A:$A,"&lt;="&amp;A749,Transactions!$B:$B,Settings!$B$1))</f>
        <v/>
      </c>
      <c r="F749" s="14" t="str">
        <f aca="false">IF(A749="","",IF(C749="","",D749*B749*C749))</f>
        <v/>
      </c>
      <c r="G749" s="14" t="str">
        <f aca="false">IF(F749="","",F749-E749)</f>
        <v/>
      </c>
      <c r="H749" s="14" t="str">
        <f aca="false">IF(F749="","",IFERROR(F749-F748-(E749-E748),0))</f>
        <v/>
      </c>
    </row>
    <row r="750" customFormat="false" ht="15" hidden="false" customHeight="false" outlineLevel="0" collapsed="false">
      <c r="A750" s="13" t="str">
        <f aca="false">IF(Prices!A750="","",Prices!A750)</f>
        <v/>
      </c>
      <c r="B750" s="14" t="str">
        <f aca="false">IF(A750="","",Prices!C750)</f>
        <v/>
      </c>
      <c r="C750" s="15" t="str">
        <f aca="false">IF(A750="","",IFERROR(INDEX(FX!$B:$B,MATCH(A750,FX!$A:$A,1)),""))</f>
        <v/>
      </c>
      <c r="D750" s="14" t="str">
        <f aca="false">IF(A750="","",SUMIFS(Transactions!$D:$D,Transactions!$A:$A,"&lt;="&amp;A750,Transactions!$B:$B,Settings!$B$1))</f>
        <v/>
      </c>
      <c r="E750" s="14" t="str">
        <f aca="false">IF(A750="","",SUMIFS(Transactions!$C:$C,Transactions!$A:$A,"&lt;="&amp;A750,Transactions!$B:$B,Settings!$B$1)+SUMIFS(Transactions!$F:$F,Transactions!$A:$A,"&lt;="&amp;A750,Transactions!$B:$B,Settings!$B$1))</f>
        <v/>
      </c>
      <c r="F750" s="14" t="str">
        <f aca="false">IF(A750="","",IF(C750="","",D750*B750*C750))</f>
        <v/>
      </c>
      <c r="G750" s="14" t="str">
        <f aca="false">IF(F750="","",F750-E750)</f>
        <v/>
      </c>
      <c r="H750" s="14" t="str">
        <f aca="false">IF(F750="","",IFERROR(F750-F749-(E750-E749),0))</f>
        <v/>
      </c>
    </row>
    <row r="751" customFormat="false" ht="15" hidden="false" customHeight="false" outlineLevel="0" collapsed="false">
      <c r="A751" s="13" t="str">
        <f aca="false">IF(Prices!A751="","",Prices!A751)</f>
        <v/>
      </c>
      <c r="B751" s="14" t="str">
        <f aca="false">IF(A751="","",Prices!C751)</f>
        <v/>
      </c>
      <c r="C751" s="15" t="str">
        <f aca="false">IF(A751="","",IFERROR(INDEX(FX!$B:$B,MATCH(A751,FX!$A:$A,1)),""))</f>
        <v/>
      </c>
      <c r="D751" s="14" t="str">
        <f aca="false">IF(A751="","",SUMIFS(Transactions!$D:$D,Transactions!$A:$A,"&lt;="&amp;A751,Transactions!$B:$B,Settings!$B$1))</f>
        <v/>
      </c>
      <c r="E751" s="14" t="str">
        <f aca="false">IF(A751="","",SUMIFS(Transactions!$C:$C,Transactions!$A:$A,"&lt;="&amp;A751,Transactions!$B:$B,Settings!$B$1)+SUMIFS(Transactions!$F:$F,Transactions!$A:$A,"&lt;="&amp;A751,Transactions!$B:$B,Settings!$B$1))</f>
        <v/>
      </c>
      <c r="F751" s="14" t="str">
        <f aca="false">IF(A751="","",IF(C751="","",D751*B751*C751))</f>
        <v/>
      </c>
      <c r="G751" s="14" t="str">
        <f aca="false">IF(F751="","",F751-E751)</f>
        <v/>
      </c>
      <c r="H751" s="14" t="str">
        <f aca="false">IF(F751="","",IFERROR(F751-F750-(E751-E750),0))</f>
        <v/>
      </c>
    </row>
    <row r="752" customFormat="false" ht="15" hidden="false" customHeight="false" outlineLevel="0" collapsed="false">
      <c r="A752" s="13" t="str">
        <f aca="false">IF(Prices!A752="","",Prices!A752)</f>
        <v/>
      </c>
      <c r="B752" s="14" t="str">
        <f aca="false">IF(A752="","",Prices!C752)</f>
        <v/>
      </c>
      <c r="C752" s="15" t="str">
        <f aca="false">IF(A752="","",IFERROR(INDEX(FX!$B:$B,MATCH(A752,FX!$A:$A,1)),""))</f>
        <v/>
      </c>
      <c r="D752" s="14" t="str">
        <f aca="false">IF(A752="","",SUMIFS(Transactions!$D:$D,Transactions!$A:$A,"&lt;="&amp;A752,Transactions!$B:$B,Settings!$B$1))</f>
        <v/>
      </c>
      <c r="E752" s="14" t="str">
        <f aca="false">IF(A752="","",SUMIFS(Transactions!$C:$C,Transactions!$A:$A,"&lt;="&amp;A752,Transactions!$B:$B,Settings!$B$1)+SUMIFS(Transactions!$F:$F,Transactions!$A:$A,"&lt;="&amp;A752,Transactions!$B:$B,Settings!$B$1))</f>
        <v/>
      </c>
      <c r="F752" s="14" t="str">
        <f aca="false">IF(A752="","",IF(C752="","",D752*B752*C752))</f>
        <v/>
      </c>
      <c r="G752" s="14" t="str">
        <f aca="false">IF(F752="","",F752-E752)</f>
        <v/>
      </c>
      <c r="H752" s="14" t="str">
        <f aca="false">IF(F752="","",IFERROR(F752-F751-(E752-E751),0))</f>
        <v/>
      </c>
    </row>
    <row r="753" customFormat="false" ht="15" hidden="false" customHeight="false" outlineLevel="0" collapsed="false">
      <c r="A753" s="13" t="str">
        <f aca="false">IF(Prices!A753="","",Prices!A753)</f>
        <v/>
      </c>
      <c r="B753" s="14" t="str">
        <f aca="false">IF(A753="","",Prices!C753)</f>
        <v/>
      </c>
      <c r="C753" s="15" t="str">
        <f aca="false">IF(A753="","",IFERROR(INDEX(FX!$B:$B,MATCH(A753,FX!$A:$A,1)),""))</f>
        <v/>
      </c>
      <c r="D753" s="14" t="str">
        <f aca="false">IF(A753="","",SUMIFS(Transactions!$D:$D,Transactions!$A:$A,"&lt;="&amp;A753,Transactions!$B:$B,Settings!$B$1))</f>
        <v/>
      </c>
      <c r="E753" s="14" t="str">
        <f aca="false">IF(A753="","",SUMIFS(Transactions!$C:$C,Transactions!$A:$A,"&lt;="&amp;A753,Transactions!$B:$B,Settings!$B$1)+SUMIFS(Transactions!$F:$F,Transactions!$A:$A,"&lt;="&amp;A753,Transactions!$B:$B,Settings!$B$1))</f>
        <v/>
      </c>
      <c r="F753" s="14" t="str">
        <f aca="false">IF(A753="","",IF(C753="","",D753*B753*C753))</f>
        <v/>
      </c>
      <c r="G753" s="14" t="str">
        <f aca="false">IF(F753="","",F753-E753)</f>
        <v/>
      </c>
      <c r="H753" s="14" t="str">
        <f aca="false">IF(F753="","",IFERROR(F753-F752-(E753-E752),0))</f>
        <v/>
      </c>
    </row>
    <row r="754" customFormat="false" ht="15" hidden="false" customHeight="false" outlineLevel="0" collapsed="false">
      <c r="A754" s="13" t="str">
        <f aca="false">IF(Prices!A754="","",Prices!A754)</f>
        <v/>
      </c>
      <c r="B754" s="14" t="str">
        <f aca="false">IF(A754="","",Prices!C754)</f>
        <v/>
      </c>
      <c r="C754" s="15" t="str">
        <f aca="false">IF(A754="","",IFERROR(INDEX(FX!$B:$B,MATCH(A754,FX!$A:$A,1)),""))</f>
        <v/>
      </c>
      <c r="D754" s="14" t="str">
        <f aca="false">IF(A754="","",SUMIFS(Transactions!$D:$D,Transactions!$A:$A,"&lt;="&amp;A754,Transactions!$B:$B,Settings!$B$1))</f>
        <v/>
      </c>
      <c r="E754" s="14" t="str">
        <f aca="false">IF(A754="","",SUMIFS(Transactions!$C:$C,Transactions!$A:$A,"&lt;="&amp;A754,Transactions!$B:$B,Settings!$B$1)+SUMIFS(Transactions!$F:$F,Transactions!$A:$A,"&lt;="&amp;A754,Transactions!$B:$B,Settings!$B$1))</f>
        <v/>
      </c>
      <c r="F754" s="14" t="str">
        <f aca="false">IF(A754="","",IF(C754="","",D754*B754*C754))</f>
        <v/>
      </c>
      <c r="G754" s="14" t="str">
        <f aca="false">IF(F754="","",F754-E754)</f>
        <v/>
      </c>
      <c r="H754" s="14" t="str">
        <f aca="false">IF(F754="","",IFERROR(F754-F753-(E754-E753),0))</f>
        <v/>
      </c>
    </row>
    <row r="755" customFormat="false" ht="15" hidden="false" customHeight="false" outlineLevel="0" collapsed="false">
      <c r="A755" s="13" t="str">
        <f aca="false">IF(Prices!A755="","",Prices!A755)</f>
        <v/>
      </c>
      <c r="B755" s="14" t="str">
        <f aca="false">IF(A755="","",Prices!C755)</f>
        <v/>
      </c>
      <c r="C755" s="15" t="str">
        <f aca="false">IF(A755="","",IFERROR(INDEX(FX!$B:$B,MATCH(A755,FX!$A:$A,1)),""))</f>
        <v/>
      </c>
      <c r="D755" s="14" t="str">
        <f aca="false">IF(A755="","",SUMIFS(Transactions!$D:$D,Transactions!$A:$A,"&lt;="&amp;A755,Transactions!$B:$B,Settings!$B$1))</f>
        <v/>
      </c>
      <c r="E755" s="14" t="str">
        <f aca="false">IF(A755="","",SUMIFS(Transactions!$C:$C,Transactions!$A:$A,"&lt;="&amp;A755,Transactions!$B:$B,Settings!$B$1)+SUMIFS(Transactions!$F:$F,Transactions!$A:$A,"&lt;="&amp;A755,Transactions!$B:$B,Settings!$B$1))</f>
        <v/>
      </c>
      <c r="F755" s="14" t="str">
        <f aca="false">IF(A755="","",IF(C755="","",D755*B755*C755))</f>
        <v/>
      </c>
      <c r="G755" s="14" t="str">
        <f aca="false">IF(F755="","",F755-E755)</f>
        <v/>
      </c>
      <c r="H755" s="14" t="str">
        <f aca="false">IF(F755="","",IFERROR(F755-F754-(E755-E754),0))</f>
        <v/>
      </c>
    </row>
    <row r="756" customFormat="false" ht="15" hidden="false" customHeight="false" outlineLevel="0" collapsed="false">
      <c r="A756" s="13" t="str">
        <f aca="false">IF(Prices!A756="","",Prices!A756)</f>
        <v/>
      </c>
      <c r="B756" s="14" t="str">
        <f aca="false">IF(A756="","",Prices!C756)</f>
        <v/>
      </c>
      <c r="C756" s="15" t="str">
        <f aca="false">IF(A756="","",IFERROR(INDEX(FX!$B:$B,MATCH(A756,FX!$A:$A,1)),""))</f>
        <v/>
      </c>
      <c r="D756" s="14" t="str">
        <f aca="false">IF(A756="","",SUMIFS(Transactions!$D:$D,Transactions!$A:$A,"&lt;="&amp;A756,Transactions!$B:$B,Settings!$B$1))</f>
        <v/>
      </c>
      <c r="E756" s="14" t="str">
        <f aca="false">IF(A756="","",SUMIFS(Transactions!$C:$C,Transactions!$A:$A,"&lt;="&amp;A756,Transactions!$B:$B,Settings!$B$1)+SUMIFS(Transactions!$F:$F,Transactions!$A:$A,"&lt;="&amp;A756,Transactions!$B:$B,Settings!$B$1))</f>
        <v/>
      </c>
      <c r="F756" s="14" t="str">
        <f aca="false">IF(A756="","",IF(C756="","",D756*B756*C756))</f>
        <v/>
      </c>
      <c r="G756" s="14" t="str">
        <f aca="false">IF(F756="","",F756-E756)</f>
        <v/>
      </c>
      <c r="H756" s="14" t="str">
        <f aca="false">IF(F756="","",IFERROR(F756-F755-(E756-E755),0))</f>
        <v/>
      </c>
    </row>
    <row r="757" customFormat="false" ht="15" hidden="false" customHeight="false" outlineLevel="0" collapsed="false">
      <c r="A757" s="13" t="str">
        <f aca="false">IF(Prices!A757="","",Prices!A757)</f>
        <v/>
      </c>
      <c r="B757" s="14" t="str">
        <f aca="false">IF(A757="","",Prices!C757)</f>
        <v/>
      </c>
      <c r="C757" s="15" t="str">
        <f aca="false">IF(A757="","",IFERROR(INDEX(FX!$B:$B,MATCH(A757,FX!$A:$A,1)),""))</f>
        <v/>
      </c>
      <c r="D757" s="14" t="str">
        <f aca="false">IF(A757="","",SUMIFS(Transactions!$D:$D,Transactions!$A:$A,"&lt;="&amp;A757,Transactions!$B:$B,Settings!$B$1))</f>
        <v/>
      </c>
      <c r="E757" s="14" t="str">
        <f aca="false">IF(A757="","",SUMIFS(Transactions!$C:$C,Transactions!$A:$A,"&lt;="&amp;A757,Transactions!$B:$B,Settings!$B$1)+SUMIFS(Transactions!$F:$F,Transactions!$A:$A,"&lt;="&amp;A757,Transactions!$B:$B,Settings!$B$1))</f>
        <v/>
      </c>
      <c r="F757" s="14" t="str">
        <f aca="false">IF(A757="","",IF(C757="","",D757*B757*C757))</f>
        <v/>
      </c>
      <c r="G757" s="14" t="str">
        <f aca="false">IF(F757="","",F757-E757)</f>
        <v/>
      </c>
      <c r="H757" s="14" t="str">
        <f aca="false">IF(F757="","",IFERROR(F757-F756-(E757-E756),0))</f>
        <v/>
      </c>
    </row>
    <row r="758" customFormat="false" ht="15" hidden="false" customHeight="false" outlineLevel="0" collapsed="false">
      <c r="A758" s="13" t="str">
        <f aca="false">IF(Prices!A758="","",Prices!A758)</f>
        <v/>
      </c>
      <c r="B758" s="14" t="str">
        <f aca="false">IF(A758="","",Prices!C758)</f>
        <v/>
      </c>
      <c r="C758" s="15" t="str">
        <f aca="false">IF(A758="","",IFERROR(INDEX(FX!$B:$B,MATCH(A758,FX!$A:$A,1)),""))</f>
        <v/>
      </c>
      <c r="D758" s="14" t="str">
        <f aca="false">IF(A758="","",SUMIFS(Transactions!$D:$D,Transactions!$A:$A,"&lt;="&amp;A758,Transactions!$B:$B,Settings!$B$1))</f>
        <v/>
      </c>
      <c r="E758" s="14" t="str">
        <f aca="false">IF(A758="","",SUMIFS(Transactions!$C:$C,Transactions!$A:$A,"&lt;="&amp;A758,Transactions!$B:$B,Settings!$B$1)+SUMIFS(Transactions!$F:$F,Transactions!$A:$A,"&lt;="&amp;A758,Transactions!$B:$B,Settings!$B$1))</f>
        <v/>
      </c>
      <c r="F758" s="14" t="str">
        <f aca="false">IF(A758="","",IF(C758="","",D758*B758*C758))</f>
        <v/>
      </c>
      <c r="G758" s="14" t="str">
        <f aca="false">IF(F758="","",F758-E758)</f>
        <v/>
      </c>
      <c r="H758" s="14" t="str">
        <f aca="false">IF(F758="","",IFERROR(F758-F757-(E758-E757),0))</f>
        <v/>
      </c>
    </row>
    <row r="759" customFormat="false" ht="15" hidden="false" customHeight="false" outlineLevel="0" collapsed="false">
      <c r="A759" s="13" t="str">
        <f aca="false">IF(Prices!A759="","",Prices!A759)</f>
        <v/>
      </c>
      <c r="B759" s="14" t="str">
        <f aca="false">IF(A759="","",Prices!C759)</f>
        <v/>
      </c>
      <c r="C759" s="15" t="str">
        <f aca="false">IF(A759="","",IFERROR(INDEX(FX!$B:$B,MATCH(A759,FX!$A:$A,1)),""))</f>
        <v/>
      </c>
      <c r="D759" s="14" t="str">
        <f aca="false">IF(A759="","",SUMIFS(Transactions!$D:$D,Transactions!$A:$A,"&lt;="&amp;A759,Transactions!$B:$B,Settings!$B$1))</f>
        <v/>
      </c>
      <c r="E759" s="14" t="str">
        <f aca="false">IF(A759="","",SUMIFS(Transactions!$C:$C,Transactions!$A:$A,"&lt;="&amp;A759,Transactions!$B:$B,Settings!$B$1)+SUMIFS(Transactions!$F:$F,Transactions!$A:$A,"&lt;="&amp;A759,Transactions!$B:$B,Settings!$B$1))</f>
        <v/>
      </c>
      <c r="F759" s="14" t="str">
        <f aca="false">IF(A759="","",IF(C759="","",D759*B759*C759))</f>
        <v/>
      </c>
      <c r="G759" s="14" t="str">
        <f aca="false">IF(F759="","",F759-E759)</f>
        <v/>
      </c>
      <c r="H759" s="14" t="str">
        <f aca="false">IF(F759="","",IFERROR(F759-F758-(E759-E758),0))</f>
        <v/>
      </c>
    </row>
    <row r="760" customFormat="false" ht="15" hidden="false" customHeight="false" outlineLevel="0" collapsed="false">
      <c r="A760" s="13" t="str">
        <f aca="false">IF(Prices!A760="","",Prices!A760)</f>
        <v/>
      </c>
      <c r="B760" s="14" t="str">
        <f aca="false">IF(A760="","",Prices!C760)</f>
        <v/>
      </c>
      <c r="C760" s="15" t="str">
        <f aca="false">IF(A760="","",IFERROR(INDEX(FX!$B:$B,MATCH(A760,FX!$A:$A,1)),""))</f>
        <v/>
      </c>
      <c r="D760" s="14" t="str">
        <f aca="false">IF(A760="","",SUMIFS(Transactions!$D:$D,Transactions!$A:$A,"&lt;="&amp;A760,Transactions!$B:$B,Settings!$B$1))</f>
        <v/>
      </c>
      <c r="E760" s="14" t="str">
        <f aca="false">IF(A760="","",SUMIFS(Transactions!$C:$C,Transactions!$A:$A,"&lt;="&amp;A760,Transactions!$B:$B,Settings!$B$1)+SUMIFS(Transactions!$F:$F,Transactions!$A:$A,"&lt;="&amp;A760,Transactions!$B:$B,Settings!$B$1))</f>
        <v/>
      </c>
      <c r="F760" s="14" t="str">
        <f aca="false">IF(A760="","",IF(C760="","",D760*B760*C760))</f>
        <v/>
      </c>
      <c r="G760" s="14" t="str">
        <f aca="false">IF(F760="","",F760-E760)</f>
        <v/>
      </c>
      <c r="H760" s="14" t="str">
        <f aca="false">IF(F760="","",IFERROR(F760-F759-(E760-E759),0))</f>
        <v/>
      </c>
    </row>
    <row r="761" customFormat="false" ht="15" hidden="false" customHeight="false" outlineLevel="0" collapsed="false">
      <c r="A761" s="13" t="str">
        <f aca="false">IF(Prices!A761="","",Prices!A761)</f>
        <v/>
      </c>
      <c r="B761" s="14" t="str">
        <f aca="false">IF(A761="","",Prices!C761)</f>
        <v/>
      </c>
      <c r="C761" s="15" t="str">
        <f aca="false">IF(A761="","",IFERROR(INDEX(FX!$B:$B,MATCH(A761,FX!$A:$A,1)),""))</f>
        <v/>
      </c>
      <c r="D761" s="14" t="str">
        <f aca="false">IF(A761="","",SUMIFS(Transactions!$D:$D,Transactions!$A:$A,"&lt;="&amp;A761,Transactions!$B:$B,Settings!$B$1))</f>
        <v/>
      </c>
      <c r="E761" s="14" t="str">
        <f aca="false">IF(A761="","",SUMIFS(Transactions!$C:$C,Transactions!$A:$A,"&lt;="&amp;A761,Transactions!$B:$B,Settings!$B$1)+SUMIFS(Transactions!$F:$F,Transactions!$A:$A,"&lt;="&amp;A761,Transactions!$B:$B,Settings!$B$1))</f>
        <v/>
      </c>
      <c r="F761" s="14" t="str">
        <f aca="false">IF(A761="","",IF(C761="","",D761*B761*C761))</f>
        <v/>
      </c>
      <c r="G761" s="14" t="str">
        <f aca="false">IF(F761="","",F761-E761)</f>
        <v/>
      </c>
      <c r="H761" s="14" t="str">
        <f aca="false">IF(F761="","",IFERROR(F761-F760-(E761-E760),0))</f>
        <v/>
      </c>
    </row>
    <row r="762" customFormat="false" ht="15" hidden="false" customHeight="false" outlineLevel="0" collapsed="false">
      <c r="A762" s="13" t="str">
        <f aca="false">IF(Prices!A762="","",Prices!A762)</f>
        <v/>
      </c>
      <c r="B762" s="14" t="str">
        <f aca="false">IF(A762="","",Prices!C762)</f>
        <v/>
      </c>
      <c r="C762" s="15" t="str">
        <f aca="false">IF(A762="","",IFERROR(INDEX(FX!$B:$B,MATCH(A762,FX!$A:$A,1)),""))</f>
        <v/>
      </c>
      <c r="D762" s="14" t="str">
        <f aca="false">IF(A762="","",SUMIFS(Transactions!$D:$D,Transactions!$A:$A,"&lt;="&amp;A762,Transactions!$B:$B,Settings!$B$1))</f>
        <v/>
      </c>
      <c r="E762" s="14" t="str">
        <f aca="false">IF(A762="","",SUMIFS(Transactions!$C:$C,Transactions!$A:$A,"&lt;="&amp;A762,Transactions!$B:$B,Settings!$B$1)+SUMIFS(Transactions!$F:$F,Transactions!$A:$A,"&lt;="&amp;A762,Transactions!$B:$B,Settings!$B$1))</f>
        <v/>
      </c>
      <c r="F762" s="14" t="str">
        <f aca="false">IF(A762="","",IF(C762="","",D762*B762*C762))</f>
        <v/>
      </c>
      <c r="G762" s="14" t="str">
        <f aca="false">IF(F762="","",F762-E762)</f>
        <v/>
      </c>
      <c r="H762" s="14" t="str">
        <f aca="false">IF(F762="","",IFERROR(F762-F761-(E762-E761),0))</f>
        <v/>
      </c>
    </row>
    <row r="763" customFormat="false" ht="15" hidden="false" customHeight="false" outlineLevel="0" collapsed="false">
      <c r="A763" s="13" t="str">
        <f aca="false">IF(Prices!A763="","",Prices!A763)</f>
        <v/>
      </c>
      <c r="B763" s="14" t="str">
        <f aca="false">IF(A763="","",Prices!C763)</f>
        <v/>
      </c>
      <c r="C763" s="15" t="str">
        <f aca="false">IF(A763="","",IFERROR(INDEX(FX!$B:$B,MATCH(A763,FX!$A:$A,1)),""))</f>
        <v/>
      </c>
      <c r="D763" s="14" t="str">
        <f aca="false">IF(A763="","",SUMIFS(Transactions!$D:$D,Transactions!$A:$A,"&lt;="&amp;A763,Transactions!$B:$B,Settings!$B$1))</f>
        <v/>
      </c>
      <c r="E763" s="14" t="str">
        <f aca="false">IF(A763="","",SUMIFS(Transactions!$C:$C,Transactions!$A:$A,"&lt;="&amp;A763,Transactions!$B:$B,Settings!$B$1)+SUMIFS(Transactions!$F:$F,Transactions!$A:$A,"&lt;="&amp;A763,Transactions!$B:$B,Settings!$B$1))</f>
        <v/>
      </c>
      <c r="F763" s="14" t="str">
        <f aca="false">IF(A763="","",IF(C763="","",D763*B763*C763))</f>
        <v/>
      </c>
      <c r="G763" s="14" t="str">
        <f aca="false">IF(F763="","",F763-E763)</f>
        <v/>
      </c>
      <c r="H763" s="14" t="str">
        <f aca="false">IF(F763="","",IFERROR(F763-F762-(E763-E762),0))</f>
        <v/>
      </c>
    </row>
    <row r="764" customFormat="false" ht="15" hidden="false" customHeight="false" outlineLevel="0" collapsed="false">
      <c r="A764" s="13" t="str">
        <f aca="false">IF(Prices!A764="","",Prices!A764)</f>
        <v/>
      </c>
      <c r="B764" s="14" t="str">
        <f aca="false">IF(A764="","",Prices!C764)</f>
        <v/>
      </c>
      <c r="C764" s="15" t="str">
        <f aca="false">IF(A764="","",IFERROR(INDEX(FX!$B:$B,MATCH(A764,FX!$A:$A,1)),""))</f>
        <v/>
      </c>
      <c r="D764" s="14" t="str">
        <f aca="false">IF(A764="","",SUMIFS(Transactions!$D:$D,Transactions!$A:$A,"&lt;="&amp;A764,Transactions!$B:$B,Settings!$B$1))</f>
        <v/>
      </c>
      <c r="E764" s="14" t="str">
        <f aca="false">IF(A764="","",SUMIFS(Transactions!$C:$C,Transactions!$A:$A,"&lt;="&amp;A764,Transactions!$B:$B,Settings!$B$1)+SUMIFS(Transactions!$F:$F,Transactions!$A:$A,"&lt;="&amp;A764,Transactions!$B:$B,Settings!$B$1))</f>
        <v/>
      </c>
      <c r="F764" s="14" t="str">
        <f aca="false">IF(A764="","",IF(C764="","",D764*B764*C764))</f>
        <v/>
      </c>
      <c r="G764" s="14" t="str">
        <f aca="false">IF(F764="","",F764-E764)</f>
        <v/>
      </c>
      <c r="H764" s="14" t="str">
        <f aca="false">IF(F764="","",IFERROR(F764-F763-(E764-E763),0))</f>
        <v/>
      </c>
    </row>
    <row r="765" customFormat="false" ht="15" hidden="false" customHeight="false" outlineLevel="0" collapsed="false">
      <c r="A765" s="13" t="str">
        <f aca="false">IF(Prices!A765="","",Prices!A765)</f>
        <v/>
      </c>
      <c r="B765" s="14" t="str">
        <f aca="false">IF(A765="","",Prices!C765)</f>
        <v/>
      </c>
      <c r="C765" s="15" t="str">
        <f aca="false">IF(A765="","",IFERROR(INDEX(FX!$B:$B,MATCH(A765,FX!$A:$A,1)),""))</f>
        <v/>
      </c>
      <c r="D765" s="14" t="str">
        <f aca="false">IF(A765="","",SUMIFS(Transactions!$D:$D,Transactions!$A:$A,"&lt;="&amp;A765,Transactions!$B:$B,Settings!$B$1))</f>
        <v/>
      </c>
      <c r="E765" s="14" t="str">
        <f aca="false">IF(A765="","",SUMIFS(Transactions!$C:$C,Transactions!$A:$A,"&lt;="&amp;A765,Transactions!$B:$B,Settings!$B$1)+SUMIFS(Transactions!$F:$F,Transactions!$A:$A,"&lt;="&amp;A765,Transactions!$B:$B,Settings!$B$1))</f>
        <v/>
      </c>
      <c r="F765" s="14" t="str">
        <f aca="false">IF(A765="","",IF(C765="","",D765*B765*C765))</f>
        <v/>
      </c>
      <c r="G765" s="14" t="str">
        <f aca="false">IF(F765="","",F765-E765)</f>
        <v/>
      </c>
      <c r="H765" s="14" t="str">
        <f aca="false">IF(F765="","",IFERROR(F765-F764-(E765-E764),0))</f>
        <v/>
      </c>
    </row>
    <row r="766" customFormat="false" ht="15" hidden="false" customHeight="false" outlineLevel="0" collapsed="false">
      <c r="A766" s="13" t="str">
        <f aca="false">IF(Prices!A766="","",Prices!A766)</f>
        <v/>
      </c>
      <c r="B766" s="14" t="str">
        <f aca="false">IF(A766="","",Prices!C766)</f>
        <v/>
      </c>
      <c r="C766" s="15" t="str">
        <f aca="false">IF(A766="","",IFERROR(INDEX(FX!$B:$B,MATCH(A766,FX!$A:$A,1)),""))</f>
        <v/>
      </c>
      <c r="D766" s="14" t="str">
        <f aca="false">IF(A766="","",SUMIFS(Transactions!$D:$D,Transactions!$A:$A,"&lt;="&amp;A766,Transactions!$B:$B,Settings!$B$1))</f>
        <v/>
      </c>
      <c r="E766" s="14" t="str">
        <f aca="false">IF(A766="","",SUMIFS(Transactions!$C:$C,Transactions!$A:$A,"&lt;="&amp;A766,Transactions!$B:$B,Settings!$B$1)+SUMIFS(Transactions!$F:$F,Transactions!$A:$A,"&lt;="&amp;A766,Transactions!$B:$B,Settings!$B$1))</f>
        <v/>
      </c>
      <c r="F766" s="14" t="str">
        <f aca="false">IF(A766="","",IF(C766="","",D766*B766*C766))</f>
        <v/>
      </c>
      <c r="G766" s="14" t="str">
        <f aca="false">IF(F766="","",F766-E766)</f>
        <v/>
      </c>
      <c r="H766" s="14" t="str">
        <f aca="false">IF(F766="","",IFERROR(F766-F765-(E766-E765),0))</f>
        <v/>
      </c>
    </row>
    <row r="767" customFormat="false" ht="15" hidden="false" customHeight="false" outlineLevel="0" collapsed="false">
      <c r="A767" s="13" t="str">
        <f aca="false">IF(Prices!A767="","",Prices!A767)</f>
        <v/>
      </c>
      <c r="B767" s="14" t="str">
        <f aca="false">IF(A767="","",Prices!C767)</f>
        <v/>
      </c>
      <c r="C767" s="15" t="str">
        <f aca="false">IF(A767="","",IFERROR(INDEX(FX!$B:$B,MATCH(A767,FX!$A:$A,1)),""))</f>
        <v/>
      </c>
      <c r="D767" s="14" t="str">
        <f aca="false">IF(A767="","",SUMIFS(Transactions!$D:$D,Transactions!$A:$A,"&lt;="&amp;A767,Transactions!$B:$B,Settings!$B$1))</f>
        <v/>
      </c>
      <c r="E767" s="14" t="str">
        <f aca="false">IF(A767="","",SUMIFS(Transactions!$C:$C,Transactions!$A:$A,"&lt;="&amp;A767,Transactions!$B:$B,Settings!$B$1)+SUMIFS(Transactions!$F:$F,Transactions!$A:$A,"&lt;="&amp;A767,Transactions!$B:$B,Settings!$B$1))</f>
        <v/>
      </c>
      <c r="F767" s="14" t="str">
        <f aca="false">IF(A767="","",IF(C767="","",D767*B767*C767))</f>
        <v/>
      </c>
      <c r="G767" s="14" t="str">
        <f aca="false">IF(F767="","",F767-E767)</f>
        <v/>
      </c>
      <c r="H767" s="14" t="str">
        <f aca="false">IF(F767="","",IFERROR(F767-F766-(E767-E766),0))</f>
        <v/>
      </c>
    </row>
    <row r="768" customFormat="false" ht="15" hidden="false" customHeight="false" outlineLevel="0" collapsed="false">
      <c r="A768" s="13" t="str">
        <f aca="false">IF(Prices!A768="","",Prices!A768)</f>
        <v/>
      </c>
      <c r="B768" s="14" t="str">
        <f aca="false">IF(A768="","",Prices!C768)</f>
        <v/>
      </c>
      <c r="C768" s="15" t="str">
        <f aca="false">IF(A768="","",IFERROR(INDEX(FX!$B:$B,MATCH(A768,FX!$A:$A,1)),""))</f>
        <v/>
      </c>
      <c r="D768" s="14" t="str">
        <f aca="false">IF(A768="","",SUMIFS(Transactions!$D:$D,Transactions!$A:$A,"&lt;="&amp;A768,Transactions!$B:$B,Settings!$B$1))</f>
        <v/>
      </c>
      <c r="E768" s="14" t="str">
        <f aca="false">IF(A768="","",SUMIFS(Transactions!$C:$C,Transactions!$A:$A,"&lt;="&amp;A768,Transactions!$B:$B,Settings!$B$1)+SUMIFS(Transactions!$F:$F,Transactions!$A:$A,"&lt;="&amp;A768,Transactions!$B:$B,Settings!$B$1))</f>
        <v/>
      </c>
      <c r="F768" s="14" t="str">
        <f aca="false">IF(A768="","",IF(C768="","",D768*B768*C768))</f>
        <v/>
      </c>
      <c r="G768" s="14" t="str">
        <f aca="false">IF(F768="","",F768-E768)</f>
        <v/>
      </c>
      <c r="H768" s="14" t="str">
        <f aca="false">IF(F768="","",IFERROR(F768-F767-(E768-E767),0))</f>
        <v/>
      </c>
    </row>
    <row r="769" customFormat="false" ht="15" hidden="false" customHeight="false" outlineLevel="0" collapsed="false">
      <c r="A769" s="13" t="str">
        <f aca="false">IF(Prices!A769="","",Prices!A769)</f>
        <v/>
      </c>
      <c r="B769" s="14" t="str">
        <f aca="false">IF(A769="","",Prices!C769)</f>
        <v/>
      </c>
      <c r="C769" s="15" t="str">
        <f aca="false">IF(A769="","",IFERROR(INDEX(FX!$B:$B,MATCH(A769,FX!$A:$A,1)),""))</f>
        <v/>
      </c>
      <c r="D769" s="14" t="str">
        <f aca="false">IF(A769="","",SUMIFS(Transactions!$D:$D,Transactions!$A:$A,"&lt;="&amp;A769,Transactions!$B:$B,Settings!$B$1))</f>
        <v/>
      </c>
      <c r="E769" s="14" t="str">
        <f aca="false">IF(A769="","",SUMIFS(Transactions!$C:$C,Transactions!$A:$A,"&lt;="&amp;A769,Transactions!$B:$B,Settings!$B$1)+SUMIFS(Transactions!$F:$F,Transactions!$A:$A,"&lt;="&amp;A769,Transactions!$B:$B,Settings!$B$1))</f>
        <v/>
      </c>
      <c r="F769" s="14" t="str">
        <f aca="false">IF(A769="","",IF(C769="","",D769*B769*C769))</f>
        <v/>
      </c>
      <c r="G769" s="14" t="str">
        <f aca="false">IF(F769="","",F769-E769)</f>
        <v/>
      </c>
      <c r="H769" s="14" t="str">
        <f aca="false">IF(F769="","",IFERROR(F769-F768-(E769-E768),0))</f>
        <v/>
      </c>
    </row>
    <row r="770" customFormat="false" ht="15" hidden="false" customHeight="false" outlineLevel="0" collapsed="false">
      <c r="A770" s="13" t="str">
        <f aca="false">IF(Prices!A770="","",Prices!A770)</f>
        <v/>
      </c>
      <c r="B770" s="14" t="str">
        <f aca="false">IF(A770="","",Prices!C770)</f>
        <v/>
      </c>
      <c r="C770" s="15" t="str">
        <f aca="false">IF(A770="","",IFERROR(INDEX(FX!$B:$B,MATCH(A770,FX!$A:$A,1)),""))</f>
        <v/>
      </c>
      <c r="D770" s="14" t="str">
        <f aca="false">IF(A770="","",SUMIFS(Transactions!$D:$D,Transactions!$A:$A,"&lt;="&amp;A770,Transactions!$B:$B,Settings!$B$1))</f>
        <v/>
      </c>
      <c r="E770" s="14" t="str">
        <f aca="false">IF(A770="","",SUMIFS(Transactions!$C:$C,Transactions!$A:$A,"&lt;="&amp;A770,Transactions!$B:$B,Settings!$B$1)+SUMIFS(Transactions!$F:$F,Transactions!$A:$A,"&lt;="&amp;A770,Transactions!$B:$B,Settings!$B$1))</f>
        <v/>
      </c>
      <c r="F770" s="14" t="str">
        <f aca="false">IF(A770="","",IF(C770="","",D770*B770*C770))</f>
        <v/>
      </c>
      <c r="G770" s="14" t="str">
        <f aca="false">IF(F770="","",F770-E770)</f>
        <v/>
      </c>
      <c r="H770" s="14" t="str">
        <f aca="false">IF(F770="","",IFERROR(F770-F769-(E770-E769),0))</f>
        <v/>
      </c>
    </row>
    <row r="771" customFormat="false" ht="15" hidden="false" customHeight="false" outlineLevel="0" collapsed="false">
      <c r="A771" s="13" t="str">
        <f aca="false">IF(Prices!A771="","",Prices!A771)</f>
        <v/>
      </c>
      <c r="B771" s="14" t="str">
        <f aca="false">IF(A771="","",Prices!C771)</f>
        <v/>
      </c>
      <c r="C771" s="15" t="str">
        <f aca="false">IF(A771="","",IFERROR(INDEX(FX!$B:$B,MATCH(A771,FX!$A:$A,1)),""))</f>
        <v/>
      </c>
      <c r="D771" s="14" t="str">
        <f aca="false">IF(A771="","",SUMIFS(Transactions!$D:$D,Transactions!$A:$A,"&lt;="&amp;A771,Transactions!$B:$B,Settings!$B$1))</f>
        <v/>
      </c>
      <c r="E771" s="14" t="str">
        <f aca="false">IF(A771="","",SUMIFS(Transactions!$C:$C,Transactions!$A:$A,"&lt;="&amp;A771,Transactions!$B:$B,Settings!$B$1)+SUMIFS(Transactions!$F:$F,Transactions!$A:$A,"&lt;="&amp;A771,Transactions!$B:$B,Settings!$B$1))</f>
        <v/>
      </c>
      <c r="F771" s="14" t="str">
        <f aca="false">IF(A771="","",IF(C771="","",D771*B771*C771))</f>
        <v/>
      </c>
      <c r="G771" s="14" t="str">
        <f aca="false">IF(F771="","",F771-E771)</f>
        <v/>
      </c>
      <c r="H771" s="14" t="str">
        <f aca="false">IF(F771="","",IFERROR(F771-F770-(E771-E770),0))</f>
        <v/>
      </c>
    </row>
    <row r="772" customFormat="false" ht="15" hidden="false" customHeight="false" outlineLevel="0" collapsed="false">
      <c r="A772" s="13" t="str">
        <f aca="false">IF(Prices!A772="","",Prices!A772)</f>
        <v/>
      </c>
      <c r="B772" s="14" t="str">
        <f aca="false">IF(A772="","",Prices!C772)</f>
        <v/>
      </c>
      <c r="C772" s="15" t="str">
        <f aca="false">IF(A772="","",IFERROR(INDEX(FX!$B:$B,MATCH(A772,FX!$A:$A,1)),""))</f>
        <v/>
      </c>
      <c r="D772" s="14" t="str">
        <f aca="false">IF(A772="","",SUMIFS(Transactions!$D:$D,Transactions!$A:$A,"&lt;="&amp;A772,Transactions!$B:$B,Settings!$B$1))</f>
        <v/>
      </c>
      <c r="E772" s="14" t="str">
        <f aca="false">IF(A772="","",SUMIFS(Transactions!$C:$C,Transactions!$A:$A,"&lt;="&amp;A772,Transactions!$B:$B,Settings!$B$1)+SUMIFS(Transactions!$F:$F,Transactions!$A:$A,"&lt;="&amp;A772,Transactions!$B:$B,Settings!$B$1))</f>
        <v/>
      </c>
      <c r="F772" s="14" t="str">
        <f aca="false">IF(A772="","",IF(C772="","",D772*B772*C772))</f>
        <v/>
      </c>
      <c r="G772" s="14" t="str">
        <f aca="false">IF(F772="","",F772-E772)</f>
        <v/>
      </c>
      <c r="H772" s="14" t="str">
        <f aca="false">IF(F772="","",IFERROR(F772-F771-(E772-E771),0))</f>
        <v/>
      </c>
    </row>
    <row r="773" customFormat="false" ht="15" hidden="false" customHeight="false" outlineLevel="0" collapsed="false">
      <c r="A773" s="13" t="str">
        <f aca="false">IF(Prices!A773="","",Prices!A773)</f>
        <v/>
      </c>
      <c r="B773" s="14" t="str">
        <f aca="false">IF(A773="","",Prices!C773)</f>
        <v/>
      </c>
      <c r="C773" s="15" t="str">
        <f aca="false">IF(A773="","",IFERROR(INDEX(FX!$B:$B,MATCH(A773,FX!$A:$A,1)),""))</f>
        <v/>
      </c>
      <c r="D773" s="14" t="str">
        <f aca="false">IF(A773="","",SUMIFS(Transactions!$D:$D,Transactions!$A:$A,"&lt;="&amp;A773,Transactions!$B:$B,Settings!$B$1))</f>
        <v/>
      </c>
      <c r="E773" s="14" t="str">
        <f aca="false">IF(A773="","",SUMIFS(Transactions!$C:$C,Transactions!$A:$A,"&lt;="&amp;A773,Transactions!$B:$B,Settings!$B$1)+SUMIFS(Transactions!$F:$F,Transactions!$A:$A,"&lt;="&amp;A773,Transactions!$B:$B,Settings!$B$1))</f>
        <v/>
      </c>
      <c r="F773" s="14" t="str">
        <f aca="false">IF(A773="","",IF(C773="","",D773*B773*C773))</f>
        <v/>
      </c>
      <c r="G773" s="14" t="str">
        <f aca="false">IF(F773="","",F773-E773)</f>
        <v/>
      </c>
      <c r="H773" s="14" t="str">
        <f aca="false">IF(F773="","",IFERROR(F773-F772-(E773-E772),0))</f>
        <v/>
      </c>
    </row>
    <row r="774" customFormat="false" ht="15" hidden="false" customHeight="false" outlineLevel="0" collapsed="false">
      <c r="A774" s="13" t="str">
        <f aca="false">IF(Prices!A774="","",Prices!A774)</f>
        <v/>
      </c>
      <c r="B774" s="14" t="str">
        <f aca="false">IF(A774="","",Prices!C774)</f>
        <v/>
      </c>
      <c r="C774" s="15" t="str">
        <f aca="false">IF(A774="","",IFERROR(INDEX(FX!$B:$B,MATCH(A774,FX!$A:$A,1)),""))</f>
        <v/>
      </c>
      <c r="D774" s="14" t="str">
        <f aca="false">IF(A774="","",SUMIFS(Transactions!$D:$D,Transactions!$A:$A,"&lt;="&amp;A774,Transactions!$B:$B,Settings!$B$1))</f>
        <v/>
      </c>
      <c r="E774" s="14" t="str">
        <f aca="false">IF(A774="","",SUMIFS(Transactions!$C:$C,Transactions!$A:$A,"&lt;="&amp;A774,Transactions!$B:$B,Settings!$B$1)+SUMIFS(Transactions!$F:$F,Transactions!$A:$A,"&lt;="&amp;A774,Transactions!$B:$B,Settings!$B$1))</f>
        <v/>
      </c>
      <c r="F774" s="14" t="str">
        <f aca="false">IF(A774="","",IF(C774="","",D774*B774*C774))</f>
        <v/>
      </c>
      <c r="G774" s="14" t="str">
        <f aca="false">IF(F774="","",F774-E774)</f>
        <v/>
      </c>
      <c r="H774" s="14" t="str">
        <f aca="false">IF(F774="","",IFERROR(F774-F773-(E774-E773),0))</f>
        <v/>
      </c>
    </row>
    <row r="775" customFormat="false" ht="15" hidden="false" customHeight="false" outlineLevel="0" collapsed="false">
      <c r="A775" s="13" t="str">
        <f aca="false">IF(Prices!A775="","",Prices!A775)</f>
        <v/>
      </c>
      <c r="B775" s="14" t="str">
        <f aca="false">IF(A775="","",Prices!C775)</f>
        <v/>
      </c>
      <c r="C775" s="15" t="str">
        <f aca="false">IF(A775="","",IFERROR(INDEX(FX!$B:$B,MATCH(A775,FX!$A:$A,1)),""))</f>
        <v/>
      </c>
      <c r="D775" s="14" t="str">
        <f aca="false">IF(A775="","",SUMIFS(Transactions!$D:$D,Transactions!$A:$A,"&lt;="&amp;A775,Transactions!$B:$B,Settings!$B$1))</f>
        <v/>
      </c>
      <c r="E775" s="14" t="str">
        <f aca="false">IF(A775="","",SUMIFS(Transactions!$C:$C,Transactions!$A:$A,"&lt;="&amp;A775,Transactions!$B:$B,Settings!$B$1)+SUMIFS(Transactions!$F:$F,Transactions!$A:$A,"&lt;="&amp;A775,Transactions!$B:$B,Settings!$B$1))</f>
        <v/>
      </c>
      <c r="F775" s="14" t="str">
        <f aca="false">IF(A775="","",IF(C775="","",D775*B775*C775))</f>
        <v/>
      </c>
      <c r="G775" s="14" t="str">
        <f aca="false">IF(F775="","",F775-E775)</f>
        <v/>
      </c>
      <c r="H775" s="14" t="str">
        <f aca="false">IF(F775="","",IFERROR(F775-F774-(E775-E774),0))</f>
        <v/>
      </c>
    </row>
    <row r="776" customFormat="false" ht="15" hidden="false" customHeight="false" outlineLevel="0" collapsed="false">
      <c r="A776" s="13" t="str">
        <f aca="false">IF(Prices!A776="","",Prices!A776)</f>
        <v/>
      </c>
      <c r="B776" s="14" t="str">
        <f aca="false">IF(A776="","",Prices!C776)</f>
        <v/>
      </c>
      <c r="C776" s="15" t="str">
        <f aca="false">IF(A776="","",IFERROR(INDEX(FX!$B:$B,MATCH(A776,FX!$A:$A,1)),""))</f>
        <v/>
      </c>
      <c r="D776" s="14" t="str">
        <f aca="false">IF(A776="","",SUMIFS(Transactions!$D:$D,Transactions!$A:$A,"&lt;="&amp;A776,Transactions!$B:$B,Settings!$B$1))</f>
        <v/>
      </c>
      <c r="E776" s="14" t="str">
        <f aca="false">IF(A776="","",SUMIFS(Transactions!$C:$C,Transactions!$A:$A,"&lt;="&amp;A776,Transactions!$B:$B,Settings!$B$1)+SUMIFS(Transactions!$F:$F,Transactions!$A:$A,"&lt;="&amp;A776,Transactions!$B:$B,Settings!$B$1))</f>
        <v/>
      </c>
      <c r="F776" s="14" t="str">
        <f aca="false">IF(A776="","",IF(C776="","",D776*B776*C776))</f>
        <v/>
      </c>
      <c r="G776" s="14" t="str">
        <f aca="false">IF(F776="","",F776-E776)</f>
        <v/>
      </c>
      <c r="H776" s="14" t="str">
        <f aca="false">IF(F776="","",IFERROR(F776-F775-(E776-E775),0))</f>
        <v/>
      </c>
    </row>
    <row r="777" customFormat="false" ht="15" hidden="false" customHeight="false" outlineLevel="0" collapsed="false">
      <c r="A777" s="13" t="str">
        <f aca="false">IF(Prices!A777="","",Prices!A777)</f>
        <v/>
      </c>
      <c r="B777" s="14" t="str">
        <f aca="false">IF(A777="","",Prices!C777)</f>
        <v/>
      </c>
      <c r="C777" s="15" t="str">
        <f aca="false">IF(A777="","",IFERROR(INDEX(FX!$B:$B,MATCH(A777,FX!$A:$A,1)),""))</f>
        <v/>
      </c>
      <c r="D777" s="14" t="str">
        <f aca="false">IF(A777="","",SUMIFS(Transactions!$D:$D,Transactions!$A:$A,"&lt;="&amp;A777,Transactions!$B:$B,Settings!$B$1))</f>
        <v/>
      </c>
      <c r="E777" s="14" t="str">
        <f aca="false">IF(A777="","",SUMIFS(Transactions!$C:$C,Transactions!$A:$A,"&lt;="&amp;A777,Transactions!$B:$B,Settings!$B$1)+SUMIFS(Transactions!$F:$F,Transactions!$A:$A,"&lt;="&amp;A777,Transactions!$B:$B,Settings!$B$1))</f>
        <v/>
      </c>
      <c r="F777" s="14" t="str">
        <f aca="false">IF(A777="","",IF(C777="","",D777*B777*C777))</f>
        <v/>
      </c>
      <c r="G777" s="14" t="str">
        <f aca="false">IF(F777="","",F777-E777)</f>
        <v/>
      </c>
      <c r="H777" s="14" t="str">
        <f aca="false">IF(F777="","",IFERROR(F777-F776-(E777-E776),0))</f>
        <v/>
      </c>
    </row>
    <row r="778" customFormat="false" ht="15" hidden="false" customHeight="false" outlineLevel="0" collapsed="false">
      <c r="A778" s="13" t="str">
        <f aca="false">IF(Prices!A778="","",Prices!A778)</f>
        <v/>
      </c>
      <c r="B778" s="14" t="str">
        <f aca="false">IF(A778="","",Prices!C778)</f>
        <v/>
      </c>
      <c r="C778" s="15" t="str">
        <f aca="false">IF(A778="","",IFERROR(INDEX(FX!$B:$B,MATCH(A778,FX!$A:$A,1)),""))</f>
        <v/>
      </c>
      <c r="D778" s="14" t="str">
        <f aca="false">IF(A778="","",SUMIFS(Transactions!$D:$D,Transactions!$A:$A,"&lt;="&amp;A778,Transactions!$B:$B,Settings!$B$1))</f>
        <v/>
      </c>
      <c r="E778" s="14" t="str">
        <f aca="false">IF(A778="","",SUMIFS(Transactions!$C:$C,Transactions!$A:$A,"&lt;="&amp;A778,Transactions!$B:$B,Settings!$B$1)+SUMIFS(Transactions!$F:$F,Transactions!$A:$A,"&lt;="&amp;A778,Transactions!$B:$B,Settings!$B$1))</f>
        <v/>
      </c>
      <c r="F778" s="14" t="str">
        <f aca="false">IF(A778="","",IF(C778="","",D778*B778*C778))</f>
        <v/>
      </c>
      <c r="G778" s="14" t="str">
        <f aca="false">IF(F778="","",F778-E778)</f>
        <v/>
      </c>
      <c r="H778" s="14" t="str">
        <f aca="false">IF(F778="","",IFERROR(F778-F777-(E778-E777),0))</f>
        <v/>
      </c>
    </row>
    <row r="779" customFormat="false" ht="15" hidden="false" customHeight="false" outlineLevel="0" collapsed="false">
      <c r="A779" s="13" t="str">
        <f aca="false">IF(Prices!A779="","",Prices!A779)</f>
        <v/>
      </c>
      <c r="B779" s="14" t="str">
        <f aca="false">IF(A779="","",Prices!C779)</f>
        <v/>
      </c>
      <c r="C779" s="15" t="str">
        <f aca="false">IF(A779="","",IFERROR(INDEX(FX!$B:$B,MATCH(A779,FX!$A:$A,1)),""))</f>
        <v/>
      </c>
      <c r="D779" s="14" t="str">
        <f aca="false">IF(A779="","",SUMIFS(Transactions!$D:$D,Transactions!$A:$A,"&lt;="&amp;A779,Transactions!$B:$B,Settings!$B$1))</f>
        <v/>
      </c>
      <c r="E779" s="14" t="str">
        <f aca="false">IF(A779="","",SUMIFS(Transactions!$C:$C,Transactions!$A:$A,"&lt;="&amp;A779,Transactions!$B:$B,Settings!$B$1)+SUMIFS(Transactions!$F:$F,Transactions!$A:$A,"&lt;="&amp;A779,Transactions!$B:$B,Settings!$B$1))</f>
        <v/>
      </c>
      <c r="F779" s="14" t="str">
        <f aca="false">IF(A779="","",IF(C779="","",D779*B779*C779))</f>
        <v/>
      </c>
      <c r="G779" s="14" t="str">
        <f aca="false">IF(F779="","",F779-E779)</f>
        <v/>
      </c>
      <c r="H779" s="14" t="str">
        <f aca="false">IF(F779="","",IFERROR(F779-F778-(E779-E778),0))</f>
        <v/>
      </c>
    </row>
    <row r="780" customFormat="false" ht="15" hidden="false" customHeight="false" outlineLevel="0" collapsed="false">
      <c r="A780" s="13" t="str">
        <f aca="false">IF(Prices!A780="","",Prices!A780)</f>
        <v/>
      </c>
      <c r="B780" s="14" t="str">
        <f aca="false">IF(A780="","",Prices!C780)</f>
        <v/>
      </c>
      <c r="C780" s="15" t="str">
        <f aca="false">IF(A780="","",IFERROR(INDEX(FX!$B:$B,MATCH(A780,FX!$A:$A,1)),""))</f>
        <v/>
      </c>
      <c r="D780" s="14" t="str">
        <f aca="false">IF(A780="","",SUMIFS(Transactions!$D:$D,Transactions!$A:$A,"&lt;="&amp;A780,Transactions!$B:$B,Settings!$B$1))</f>
        <v/>
      </c>
      <c r="E780" s="14" t="str">
        <f aca="false">IF(A780="","",SUMIFS(Transactions!$C:$C,Transactions!$A:$A,"&lt;="&amp;A780,Transactions!$B:$B,Settings!$B$1)+SUMIFS(Transactions!$F:$F,Transactions!$A:$A,"&lt;="&amp;A780,Transactions!$B:$B,Settings!$B$1))</f>
        <v/>
      </c>
      <c r="F780" s="14" t="str">
        <f aca="false">IF(A780="","",IF(C780="","",D780*B780*C780))</f>
        <v/>
      </c>
      <c r="G780" s="14" t="str">
        <f aca="false">IF(F780="","",F780-E780)</f>
        <v/>
      </c>
      <c r="H780" s="14" t="str">
        <f aca="false">IF(F780="","",IFERROR(F780-F779-(E780-E779),0))</f>
        <v/>
      </c>
    </row>
    <row r="781" customFormat="false" ht="15" hidden="false" customHeight="false" outlineLevel="0" collapsed="false">
      <c r="A781" s="13" t="str">
        <f aca="false">IF(Prices!A781="","",Prices!A781)</f>
        <v/>
      </c>
      <c r="B781" s="14" t="str">
        <f aca="false">IF(A781="","",Prices!C781)</f>
        <v/>
      </c>
      <c r="C781" s="15" t="str">
        <f aca="false">IF(A781="","",IFERROR(INDEX(FX!$B:$B,MATCH(A781,FX!$A:$A,1)),""))</f>
        <v/>
      </c>
      <c r="D781" s="14" t="str">
        <f aca="false">IF(A781="","",SUMIFS(Transactions!$D:$D,Transactions!$A:$A,"&lt;="&amp;A781,Transactions!$B:$B,Settings!$B$1))</f>
        <v/>
      </c>
      <c r="E781" s="14" t="str">
        <f aca="false">IF(A781="","",SUMIFS(Transactions!$C:$C,Transactions!$A:$A,"&lt;="&amp;A781,Transactions!$B:$B,Settings!$B$1)+SUMIFS(Transactions!$F:$F,Transactions!$A:$A,"&lt;="&amp;A781,Transactions!$B:$B,Settings!$B$1))</f>
        <v/>
      </c>
      <c r="F781" s="14" t="str">
        <f aca="false">IF(A781="","",IF(C781="","",D781*B781*C781))</f>
        <v/>
      </c>
      <c r="G781" s="14" t="str">
        <f aca="false">IF(F781="","",F781-E781)</f>
        <v/>
      </c>
      <c r="H781" s="14" t="str">
        <f aca="false">IF(F781="","",IFERROR(F781-F780-(E781-E780),0))</f>
        <v/>
      </c>
    </row>
    <row r="782" customFormat="false" ht="15" hidden="false" customHeight="false" outlineLevel="0" collapsed="false">
      <c r="A782" s="13" t="str">
        <f aca="false">IF(Prices!A782="","",Prices!A782)</f>
        <v/>
      </c>
      <c r="B782" s="14" t="str">
        <f aca="false">IF(A782="","",Prices!C782)</f>
        <v/>
      </c>
      <c r="C782" s="15" t="str">
        <f aca="false">IF(A782="","",IFERROR(INDEX(FX!$B:$B,MATCH(A782,FX!$A:$A,1)),""))</f>
        <v/>
      </c>
      <c r="D782" s="14" t="str">
        <f aca="false">IF(A782="","",SUMIFS(Transactions!$D:$D,Transactions!$A:$A,"&lt;="&amp;A782,Transactions!$B:$B,Settings!$B$1))</f>
        <v/>
      </c>
      <c r="E782" s="14" t="str">
        <f aca="false">IF(A782="","",SUMIFS(Transactions!$C:$C,Transactions!$A:$A,"&lt;="&amp;A782,Transactions!$B:$B,Settings!$B$1)+SUMIFS(Transactions!$F:$F,Transactions!$A:$A,"&lt;="&amp;A782,Transactions!$B:$B,Settings!$B$1))</f>
        <v/>
      </c>
      <c r="F782" s="14" t="str">
        <f aca="false">IF(A782="","",IF(C782="","",D782*B782*C782))</f>
        <v/>
      </c>
      <c r="G782" s="14" t="str">
        <f aca="false">IF(F782="","",F782-E782)</f>
        <v/>
      </c>
      <c r="H782" s="14" t="str">
        <f aca="false">IF(F782="","",IFERROR(F782-F781-(E782-E781),0))</f>
        <v/>
      </c>
    </row>
    <row r="783" customFormat="false" ht="15" hidden="false" customHeight="false" outlineLevel="0" collapsed="false">
      <c r="A783" s="13" t="str">
        <f aca="false">IF(Prices!A783="","",Prices!A783)</f>
        <v/>
      </c>
      <c r="B783" s="14" t="str">
        <f aca="false">IF(A783="","",Prices!C783)</f>
        <v/>
      </c>
      <c r="C783" s="15" t="str">
        <f aca="false">IF(A783="","",IFERROR(INDEX(FX!$B:$B,MATCH(A783,FX!$A:$A,1)),""))</f>
        <v/>
      </c>
      <c r="D783" s="14" t="str">
        <f aca="false">IF(A783="","",SUMIFS(Transactions!$D:$D,Transactions!$A:$A,"&lt;="&amp;A783,Transactions!$B:$B,Settings!$B$1))</f>
        <v/>
      </c>
      <c r="E783" s="14" t="str">
        <f aca="false">IF(A783="","",SUMIFS(Transactions!$C:$C,Transactions!$A:$A,"&lt;="&amp;A783,Transactions!$B:$B,Settings!$B$1)+SUMIFS(Transactions!$F:$F,Transactions!$A:$A,"&lt;="&amp;A783,Transactions!$B:$B,Settings!$B$1))</f>
        <v/>
      </c>
      <c r="F783" s="14" t="str">
        <f aca="false">IF(A783="","",IF(C783="","",D783*B783*C783))</f>
        <v/>
      </c>
      <c r="G783" s="14" t="str">
        <f aca="false">IF(F783="","",F783-E783)</f>
        <v/>
      </c>
      <c r="H783" s="14" t="str">
        <f aca="false">IF(F783="","",IFERROR(F783-F782-(E783-E782),0))</f>
        <v/>
      </c>
    </row>
    <row r="784" customFormat="false" ht="15" hidden="false" customHeight="false" outlineLevel="0" collapsed="false">
      <c r="A784" s="13" t="str">
        <f aca="false">IF(Prices!A784="","",Prices!A784)</f>
        <v/>
      </c>
      <c r="B784" s="14" t="str">
        <f aca="false">IF(A784="","",Prices!C784)</f>
        <v/>
      </c>
      <c r="C784" s="15" t="str">
        <f aca="false">IF(A784="","",IFERROR(INDEX(FX!$B:$B,MATCH(A784,FX!$A:$A,1)),""))</f>
        <v/>
      </c>
      <c r="D784" s="14" t="str">
        <f aca="false">IF(A784="","",SUMIFS(Transactions!$D:$D,Transactions!$A:$A,"&lt;="&amp;A784,Transactions!$B:$B,Settings!$B$1))</f>
        <v/>
      </c>
      <c r="E784" s="14" t="str">
        <f aca="false">IF(A784="","",SUMIFS(Transactions!$C:$C,Transactions!$A:$A,"&lt;="&amp;A784,Transactions!$B:$B,Settings!$B$1)+SUMIFS(Transactions!$F:$F,Transactions!$A:$A,"&lt;="&amp;A784,Transactions!$B:$B,Settings!$B$1))</f>
        <v/>
      </c>
      <c r="F784" s="14" t="str">
        <f aca="false">IF(A784="","",IF(C784="","",D784*B784*C784))</f>
        <v/>
      </c>
      <c r="G784" s="14" t="str">
        <f aca="false">IF(F784="","",F784-E784)</f>
        <v/>
      </c>
      <c r="H784" s="14" t="str">
        <f aca="false">IF(F784="","",IFERROR(F784-F783-(E784-E783),0))</f>
        <v/>
      </c>
    </row>
    <row r="785" customFormat="false" ht="15" hidden="false" customHeight="false" outlineLevel="0" collapsed="false">
      <c r="A785" s="13" t="str">
        <f aca="false">IF(Prices!A785="","",Prices!A785)</f>
        <v/>
      </c>
      <c r="B785" s="14" t="str">
        <f aca="false">IF(A785="","",Prices!C785)</f>
        <v/>
      </c>
      <c r="C785" s="15" t="str">
        <f aca="false">IF(A785="","",IFERROR(INDEX(FX!$B:$B,MATCH(A785,FX!$A:$A,1)),""))</f>
        <v/>
      </c>
      <c r="D785" s="14" t="str">
        <f aca="false">IF(A785="","",SUMIFS(Transactions!$D:$D,Transactions!$A:$A,"&lt;="&amp;A785,Transactions!$B:$B,Settings!$B$1))</f>
        <v/>
      </c>
      <c r="E785" s="14" t="str">
        <f aca="false">IF(A785="","",SUMIFS(Transactions!$C:$C,Transactions!$A:$A,"&lt;="&amp;A785,Transactions!$B:$B,Settings!$B$1)+SUMIFS(Transactions!$F:$F,Transactions!$A:$A,"&lt;="&amp;A785,Transactions!$B:$B,Settings!$B$1))</f>
        <v/>
      </c>
      <c r="F785" s="14" t="str">
        <f aca="false">IF(A785="","",IF(C785="","",D785*B785*C785))</f>
        <v/>
      </c>
      <c r="G785" s="14" t="str">
        <f aca="false">IF(F785="","",F785-E785)</f>
        <v/>
      </c>
      <c r="H785" s="14" t="str">
        <f aca="false">IF(F785="","",IFERROR(F785-F784-(E785-E784),0))</f>
        <v/>
      </c>
    </row>
    <row r="786" customFormat="false" ht="15" hidden="false" customHeight="false" outlineLevel="0" collapsed="false">
      <c r="A786" s="13" t="str">
        <f aca="false">IF(Prices!A786="","",Prices!A786)</f>
        <v/>
      </c>
      <c r="B786" s="14" t="str">
        <f aca="false">IF(A786="","",Prices!C786)</f>
        <v/>
      </c>
      <c r="C786" s="15" t="str">
        <f aca="false">IF(A786="","",IFERROR(INDEX(FX!$B:$B,MATCH(A786,FX!$A:$A,1)),""))</f>
        <v/>
      </c>
      <c r="D786" s="14" t="str">
        <f aca="false">IF(A786="","",SUMIFS(Transactions!$D:$D,Transactions!$A:$A,"&lt;="&amp;A786,Transactions!$B:$B,Settings!$B$1))</f>
        <v/>
      </c>
      <c r="E786" s="14" t="str">
        <f aca="false">IF(A786="","",SUMIFS(Transactions!$C:$C,Transactions!$A:$A,"&lt;="&amp;A786,Transactions!$B:$B,Settings!$B$1)+SUMIFS(Transactions!$F:$F,Transactions!$A:$A,"&lt;="&amp;A786,Transactions!$B:$B,Settings!$B$1))</f>
        <v/>
      </c>
      <c r="F786" s="14" t="str">
        <f aca="false">IF(A786="","",IF(C786="","",D786*B786*C786))</f>
        <v/>
      </c>
      <c r="G786" s="14" t="str">
        <f aca="false">IF(F786="","",F786-E786)</f>
        <v/>
      </c>
      <c r="H786" s="14" t="str">
        <f aca="false">IF(F786="","",IFERROR(F786-F785-(E786-E785),0))</f>
        <v/>
      </c>
    </row>
    <row r="787" customFormat="false" ht="15" hidden="false" customHeight="false" outlineLevel="0" collapsed="false">
      <c r="A787" s="13" t="str">
        <f aca="false">IF(Prices!A787="","",Prices!A787)</f>
        <v/>
      </c>
      <c r="B787" s="14" t="str">
        <f aca="false">IF(A787="","",Prices!C787)</f>
        <v/>
      </c>
      <c r="C787" s="15" t="str">
        <f aca="false">IF(A787="","",IFERROR(INDEX(FX!$B:$B,MATCH(A787,FX!$A:$A,1)),""))</f>
        <v/>
      </c>
      <c r="D787" s="14" t="str">
        <f aca="false">IF(A787="","",SUMIFS(Transactions!$D:$D,Transactions!$A:$A,"&lt;="&amp;A787,Transactions!$B:$B,Settings!$B$1))</f>
        <v/>
      </c>
      <c r="E787" s="14" t="str">
        <f aca="false">IF(A787="","",SUMIFS(Transactions!$C:$C,Transactions!$A:$A,"&lt;="&amp;A787,Transactions!$B:$B,Settings!$B$1)+SUMIFS(Transactions!$F:$F,Transactions!$A:$A,"&lt;="&amp;A787,Transactions!$B:$B,Settings!$B$1))</f>
        <v/>
      </c>
      <c r="F787" s="14" t="str">
        <f aca="false">IF(A787="","",IF(C787="","",D787*B787*C787))</f>
        <v/>
      </c>
      <c r="G787" s="14" t="str">
        <f aca="false">IF(F787="","",F787-E787)</f>
        <v/>
      </c>
      <c r="H787" s="14" t="str">
        <f aca="false">IF(F787="","",IFERROR(F787-F786-(E787-E786),0))</f>
        <v/>
      </c>
    </row>
    <row r="788" customFormat="false" ht="15" hidden="false" customHeight="false" outlineLevel="0" collapsed="false">
      <c r="A788" s="13" t="str">
        <f aca="false">IF(Prices!A788="","",Prices!A788)</f>
        <v/>
      </c>
      <c r="B788" s="14" t="str">
        <f aca="false">IF(A788="","",Prices!C788)</f>
        <v/>
      </c>
      <c r="C788" s="15" t="str">
        <f aca="false">IF(A788="","",IFERROR(INDEX(FX!$B:$B,MATCH(A788,FX!$A:$A,1)),""))</f>
        <v/>
      </c>
      <c r="D788" s="14" t="str">
        <f aca="false">IF(A788="","",SUMIFS(Transactions!$D:$D,Transactions!$A:$A,"&lt;="&amp;A788,Transactions!$B:$B,Settings!$B$1))</f>
        <v/>
      </c>
      <c r="E788" s="14" t="str">
        <f aca="false">IF(A788="","",SUMIFS(Transactions!$C:$C,Transactions!$A:$A,"&lt;="&amp;A788,Transactions!$B:$B,Settings!$B$1)+SUMIFS(Transactions!$F:$F,Transactions!$A:$A,"&lt;="&amp;A788,Transactions!$B:$B,Settings!$B$1))</f>
        <v/>
      </c>
      <c r="F788" s="14" t="str">
        <f aca="false">IF(A788="","",IF(C788="","",D788*B788*C788))</f>
        <v/>
      </c>
      <c r="G788" s="14" t="str">
        <f aca="false">IF(F788="","",F788-E788)</f>
        <v/>
      </c>
      <c r="H788" s="14" t="str">
        <f aca="false">IF(F788="","",IFERROR(F788-F787-(E788-E787),0))</f>
        <v/>
      </c>
    </row>
    <row r="789" customFormat="false" ht="15" hidden="false" customHeight="false" outlineLevel="0" collapsed="false">
      <c r="A789" s="13" t="str">
        <f aca="false">IF(Prices!A789="","",Prices!A789)</f>
        <v/>
      </c>
      <c r="B789" s="14" t="str">
        <f aca="false">IF(A789="","",Prices!C789)</f>
        <v/>
      </c>
      <c r="C789" s="15" t="str">
        <f aca="false">IF(A789="","",IFERROR(INDEX(FX!$B:$B,MATCH(A789,FX!$A:$A,1)),""))</f>
        <v/>
      </c>
      <c r="D789" s="14" t="str">
        <f aca="false">IF(A789="","",SUMIFS(Transactions!$D:$D,Transactions!$A:$A,"&lt;="&amp;A789,Transactions!$B:$B,Settings!$B$1))</f>
        <v/>
      </c>
      <c r="E789" s="14" t="str">
        <f aca="false">IF(A789="","",SUMIFS(Transactions!$C:$C,Transactions!$A:$A,"&lt;="&amp;A789,Transactions!$B:$B,Settings!$B$1)+SUMIFS(Transactions!$F:$F,Transactions!$A:$A,"&lt;="&amp;A789,Transactions!$B:$B,Settings!$B$1))</f>
        <v/>
      </c>
      <c r="F789" s="14" t="str">
        <f aca="false">IF(A789="","",IF(C789="","",D789*B789*C789))</f>
        <v/>
      </c>
      <c r="G789" s="14" t="str">
        <f aca="false">IF(F789="","",F789-E789)</f>
        <v/>
      </c>
      <c r="H789" s="14" t="str">
        <f aca="false">IF(F789="","",IFERROR(F789-F788-(E789-E788),0))</f>
        <v/>
      </c>
    </row>
    <row r="790" customFormat="false" ht="15" hidden="false" customHeight="false" outlineLevel="0" collapsed="false">
      <c r="A790" s="13" t="str">
        <f aca="false">IF(Prices!A790="","",Prices!A790)</f>
        <v/>
      </c>
      <c r="B790" s="14" t="str">
        <f aca="false">IF(A790="","",Prices!C790)</f>
        <v/>
      </c>
      <c r="C790" s="15" t="str">
        <f aca="false">IF(A790="","",IFERROR(INDEX(FX!$B:$B,MATCH(A790,FX!$A:$A,1)),""))</f>
        <v/>
      </c>
      <c r="D790" s="14" t="str">
        <f aca="false">IF(A790="","",SUMIFS(Transactions!$D:$D,Transactions!$A:$A,"&lt;="&amp;A790,Transactions!$B:$B,Settings!$B$1))</f>
        <v/>
      </c>
      <c r="E790" s="14" t="str">
        <f aca="false">IF(A790="","",SUMIFS(Transactions!$C:$C,Transactions!$A:$A,"&lt;="&amp;A790,Transactions!$B:$B,Settings!$B$1)+SUMIFS(Transactions!$F:$F,Transactions!$A:$A,"&lt;="&amp;A790,Transactions!$B:$B,Settings!$B$1))</f>
        <v/>
      </c>
      <c r="F790" s="14" t="str">
        <f aca="false">IF(A790="","",IF(C790="","",D790*B790*C790))</f>
        <v/>
      </c>
      <c r="G790" s="14" t="str">
        <f aca="false">IF(F790="","",F790-E790)</f>
        <v/>
      </c>
      <c r="H790" s="14" t="str">
        <f aca="false">IF(F790="","",IFERROR(F790-F789-(E790-E789),0))</f>
        <v/>
      </c>
    </row>
    <row r="791" customFormat="false" ht="15" hidden="false" customHeight="false" outlineLevel="0" collapsed="false">
      <c r="A791" s="13" t="str">
        <f aca="false">IF(Prices!A791="","",Prices!A791)</f>
        <v/>
      </c>
      <c r="B791" s="14" t="str">
        <f aca="false">IF(A791="","",Prices!C791)</f>
        <v/>
      </c>
      <c r="C791" s="15" t="str">
        <f aca="false">IF(A791="","",IFERROR(INDEX(FX!$B:$B,MATCH(A791,FX!$A:$A,1)),""))</f>
        <v/>
      </c>
      <c r="D791" s="14" t="str">
        <f aca="false">IF(A791="","",SUMIFS(Transactions!$D:$D,Transactions!$A:$A,"&lt;="&amp;A791,Transactions!$B:$B,Settings!$B$1))</f>
        <v/>
      </c>
      <c r="E791" s="14" t="str">
        <f aca="false">IF(A791="","",SUMIFS(Transactions!$C:$C,Transactions!$A:$A,"&lt;="&amp;A791,Transactions!$B:$B,Settings!$B$1)+SUMIFS(Transactions!$F:$F,Transactions!$A:$A,"&lt;="&amp;A791,Transactions!$B:$B,Settings!$B$1))</f>
        <v/>
      </c>
      <c r="F791" s="14" t="str">
        <f aca="false">IF(A791="","",IF(C791="","",D791*B791*C791))</f>
        <v/>
      </c>
      <c r="G791" s="14" t="str">
        <f aca="false">IF(F791="","",F791-E791)</f>
        <v/>
      </c>
      <c r="H791" s="14" t="str">
        <f aca="false">IF(F791="","",IFERROR(F791-F790-(E791-E790),0))</f>
        <v/>
      </c>
    </row>
    <row r="792" customFormat="false" ht="15" hidden="false" customHeight="false" outlineLevel="0" collapsed="false">
      <c r="A792" s="13" t="str">
        <f aca="false">IF(Prices!A792="","",Prices!A792)</f>
        <v/>
      </c>
      <c r="B792" s="14" t="str">
        <f aca="false">IF(A792="","",Prices!C792)</f>
        <v/>
      </c>
      <c r="C792" s="15" t="str">
        <f aca="false">IF(A792="","",IFERROR(INDEX(FX!$B:$B,MATCH(A792,FX!$A:$A,1)),""))</f>
        <v/>
      </c>
      <c r="D792" s="14" t="str">
        <f aca="false">IF(A792="","",SUMIFS(Transactions!$D:$D,Transactions!$A:$A,"&lt;="&amp;A792,Transactions!$B:$B,Settings!$B$1))</f>
        <v/>
      </c>
      <c r="E792" s="14" t="str">
        <f aca="false">IF(A792="","",SUMIFS(Transactions!$C:$C,Transactions!$A:$A,"&lt;="&amp;A792,Transactions!$B:$B,Settings!$B$1)+SUMIFS(Transactions!$F:$F,Transactions!$A:$A,"&lt;="&amp;A792,Transactions!$B:$B,Settings!$B$1))</f>
        <v/>
      </c>
      <c r="F792" s="14" t="str">
        <f aca="false">IF(A792="","",IF(C792="","",D792*B792*C792))</f>
        <v/>
      </c>
      <c r="G792" s="14" t="str">
        <f aca="false">IF(F792="","",F792-E792)</f>
        <v/>
      </c>
      <c r="H792" s="14" t="str">
        <f aca="false">IF(F792="","",IFERROR(F792-F791-(E792-E791),0))</f>
        <v/>
      </c>
    </row>
    <row r="793" customFormat="false" ht="15" hidden="false" customHeight="false" outlineLevel="0" collapsed="false">
      <c r="A793" s="13" t="str">
        <f aca="false">IF(Prices!A793="","",Prices!A793)</f>
        <v/>
      </c>
      <c r="B793" s="14" t="str">
        <f aca="false">IF(A793="","",Prices!C793)</f>
        <v/>
      </c>
      <c r="C793" s="15" t="str">
        <f aca="false">IF(A793="","",IFERROR(INDEX(FX!$B:$B,MATCH(A793,FX!$A:$A,1)),""))</f>
        <v/>
      </c>
      <c r="D793" s="14" t="str">
        <f aca="false">IF(A793="","",SUMIFS(Transactions!$D:$D,Transactions!$A:$A,"&lt;="&amp;A793,Transactions!$B:$B,Settings!$B$1))</f>
        <v/>
      </c>
      <c r="E793" s="14" t="str">
        <f aca="false">IF(A793="","",SUMIFS(Transactions!$C:$C,Transactions!$A:$A,"&lt;="&amp;A793,Transactions!$B:$B,Settings!$B$1)+SUMIFS(Transactions!$F:$F,Transactions!$A:$A,"&lt;="&amp;A793,Transactions!$B:$B,Settings!$B$1))</f>
        <v/>
      </c>
      <c r="F793" s="14" t="str">
        <f aca="false">IF(A793="","",IF(C793="","",D793*B793*C793))</f>
        <v/>
      </c>
      <c r="G793" s="14" t="str">
        <f aca="false">IF(F793="","",F793-E793)</f>
        <v/>
      </c>
      <c r="H793" s="14" t="str">
        <f aca="false">IF(F793="","",IFERROR(F793-F792-(E793-E792),0))</f>
        <v/>
      </c>
    </row>
    <row r="794" customFormat="false" ht="15" hidden="false" customHeight="false" outlineLevel="0" collapsed="false">
      <c r="A794" s="13" t="str">
        <f aca="false">IF(Prices!A794="","",Prices!A794)</f>
        <v/>
      </c>
      <c r="B794" s="14" t="str">
        <f aca="false">IF(A794="","",Prices!C794)</f>
        <v/>
      </c>
      <c r="C794" s="15" t="str">
        <f aca="false">IF(A794="","",IFERROR(INDEX(FX!$B:$B,MATCH(A794,FX!$A:$A,1)),""))</f>
        <v/>
      </c>
      <c r="D794" s="14" t="str">
        <f aca="false">IF(A794="","",SUMIFS(Transactions!$D:$D,Transactions!$A:$A,"&lt;="&amp;A794,Transactions!$B:$B,Settings!$B$1))</f>
        <v/>
      </c>
      <c r="E794" s="14" t="str">
        <f aca="false">IF(A794="","",SUMIFS(Transactions!$C:$C,Transactions!$A:$A,"&lt;="&amp;A794,Transactions!$B:$B,Settings!$B$1)+SUMIFS(Transactions!$F:$F,Transactions!$A:$A,"&lt;="&amp;A794,Transactions!$B:$B,Settings!$B$1))</f>
        <v/>
      </c>
      <c r="F794" s="14" t="str">
        <f aca="false">IF(A794="","",IF(C794="","",D794*B794*C794))</f>
        <v/>
      </c>
      <c r="G794" s="14" t="str">
        <f aca="false">IF(F794="","",F794-E794)</f>
        <v/>
      </c>
      <c r="H794" s="14" t="str">
        <f aca="false">IF(F794="","",IFERROR(F794-F793-(E794-E793),0))</f>
        <v/>
      </c>
    </row>
    <row r="795" customFormat="false" ht="15" hidden="false" customHeight="false" outlineLevel="0" collapsed="false">
      <c r="A795" s="13" t="str">
        <f aca="false">IF(Prices!A795="","",Prices!A795)</f>
        <v/>
      </c>
      <c r="B795" s="14" t="str">
        <f aca="false">IF(A795="","",Prices!C795)</f>
        <v/>
      </c>
      <c r="C795" s="15" t="str">
        <f aca="false">IF(A795="","",IFERROR(INDEX(FX!$B:$B,MATCH(A795,FX!$A:$A,1)),""))</f>
        <v/>
      </c>
      <c r="D795" s="14" t="str">
        <f aca="false">IF(A795="","",SUMIFS(Transactions!$D:$D,Transactions!$A:$A,"&lt;="&amp;A795,Transactions!$B:$B,Settings!$B$1))</f>
        <v/>
      </c>
      <c r="E795" s="14" t="str">
        <f aca="false">IF(A795="","",SUMIFS(Transactions!$C:$C,Transactions!$A:$A,"&lt;="&amp;A795,Transactions!$B:$B,Settings!$B$1)+SUMIFS(Transactions!$F:$F,Transactions!$A:$A,"&lt;="&amp;A795,Transactions!$B:$B,Settings!$B$1))</f>
        <v/>
      </c>
      <c r="F795" s="14" t="str">
        <f aca="false">IF(A795="","",IF(C795="","",D795*B795*C795))</f>
        <v/>
      </c>
      <c r="G795" s="14" t="str">
        <f aca="false">IF(F795="","",F795-E795)</f>
        <v/>
      </c>
      <c r="H795" s="14" t="str">
        <f aca="false">IF(F795="","",IFERROR(F795-F794-(E795-E794),0))</f>
        <v/>
      </c>
    </row>
    <row r="796" customFormat="false" ht="15" hidden="false" customHeight="false" outlineLevel="0" collapsed="false">
      <c r="A796" s="13" t="str">
        <f aca="false">IF(Prices!A796="","",Prices!A796)</f>
        <v/>
      </c>
      <c r="B796" s="14" t="str">
        <f aca="false">IF(A796="","",Prices!C796)</f>
        <v/>
      </c>
      <c r="C796" s="15" t="str">
        <f aca="false">IF(A796="","",IFERROR(INDEX(FX!$B:$B,MATCH(A796,FX!$A:$A,1)),""))</f>
        <v/>
      </c>
      <c r="D796" s="14" t="str">
        <f aca="false">IF(A796="","",SUMIFS(Transactions!$D:$D,Transactions!$A:$A,"&lt;="&amp;A796,Transactions!$B:$B,Settings!$B$1))</f>
        <v/>
      </c>
      <c r="E796" s="14" t="str">
        <f aca="false">IF(A796="","",SUMIFS(Transactions!$C:$C,Transactions!$A:$A,"&lt;="&amp;A796,Transactions!$B:$B,Settings!$B$1)+SUMIFS(Transactions!$F:$F,Transactions!$A:$A,"&lt;="&amp;A796,Transactions!$B:$B,Settings!$B$1))</f>
        <v/>
      </c>
      <c r="F796" s="14" t="str">
        <f aca="false">IF(A796="","",IF(C796="","",D796*B796*C796))</f>
        <v/>
      </c>
      <c r="G796" s="14" t="str">
        <f aca="false">IF(F796="","",F796-E796)</f>
        <v/>
      </c>
      <c r="H796" s="14" t="str">
        <f aca="false">IF(F796="","",IFERROR(F796-F795-(E796-E795),0))</f>
        <v/>
      </c>
    </row>
    <row r="797" customFormat="false" ht="15" hidden="false" customHeight="false" outlineLevel="0" collapsed="false">
      <c r="A797" s="13" t="str">
        <f aca="false">IF(Prices!A797="","",Prices!A797)</f>
        <v/>
      </c>
      <c r="B797" s="14" t="str">
        <f aca="false">IF(A797="","",Prices!C797)</f>
        <v/>
      </c>
      <c r="C797" s="15" t="str">
        <f aca="false">IF(A797="","",IFERROR(INDEX(FX!$B:$B,MATCH(A797,FX!$A:$A,1)),""))</f>
        <v/>
      </c>
      <c r="D797" s="14" t="str">
        <f aca="false">IF(A797="","",SUMIFS(Transactions!$D:$D,Transactions!$A:$A,"&lt;="&amp;A797,Transactions!$B:$B,Settings!$B$1))</f>
        <v/>
      </c>
      <c r="E797" s="14" t="str">
        <f aca="false">IF(A797="","",SUMIFS(Transactions!$C:$C,Transactions!$A:$A,"&lt;="&amp;A797,Transactions!$B:$B,Settings!$B$1)+SUMIFS(Transactions!$F:$F,Transactions!$A:$A,"&lt;="&amp;A797,Transactions!$B:$B,Settings!$B$1))</f>
        <v/>
      </c>
      <c r="F797" s="14" t="str">
        <f aca="false">IF(A797="","",IF(C797="","",D797*B797*C797))</f>
        <v/>
      </c>
      <c r="G797" s="14" t="str">
        <f aca="false">IF(F797="","",F797-E797)</f>
        <v/>
      </c>
      <c r="H797" s="14" t="str">
        <f aca="false">IF(F797="","",IFERROR(F797-F796-(E797-E796),0))</f>
        <v/>
      </c>
    </row>
    <row r="798" customFormat="false" ht="15" hidden="false" customHeight="false" outlineLevel="0" collapsed="false">
      <c r="A798" s="13" t="str">
        <f aca="false">IF(Prices!A798="","",Prices!A798)</f>
        <v/>
      </c>
      <c r="B798" s="14" t="str">
        <f aca="false">IF(A798="","",Prices!C798)</f>
        <v/>
      </c>
      <c r="C798" s="15" t="str">
        <f aca="false">IF(A798="","",IFERROR(INDEX(FX!$B:$B,MATCH(A798,FX!$A:$A,1)),""))</f>
        <v/>
      </c>
      <c r="D798" s="14" t="str">
        <f aca="false">IF(A798="","",SUMIFS(Transactions!$D:$D,Transactions!$A:$A,"&lt;="&amp;A798,Transactions!$B:$B,Settings!$B$1))</f>
        <v/>
      </c>
      <c r="E798" s="14" t="str">
        <f aca="false">IF(A798="","",SUMIFS(Transactions!$C:$C,Transactions!$A:$A,"&lt;="&amp;A798,Transactions!$B:$B,Settings!$B$1)+SUMIFS(Transactions!$F:$F,Transactions!$A:$A,"&lt;="&amp;A798,Transactions!$B:$B,Settings!$B$1))</f>
        <v/>
      </c>
      <c r="F798" s="14" t="str">
        <f aca="false">IF(A798="","",IF(C798="","",D798*B798*C798))</f>
        <v/>
      </c>
      <c r="G798" s="14" t="str">
        <f aca="false">IF(F798="","",F798-E798)</f>
        <v/>
      </c>
      <c r="H798" s="14" t="str">
        <f aca="false">IF(F798="","",IFERROR(F798-F797-(E798-E797),0))</f>
        <v/>
      </c>
    </row>
    <row r="799" customFormat="false" ht="15" hidden="false" customHeight="false" outlineLevel="0" collapsed="false">
      <c r="A799" s="13" t="str">
        <f aca="false">IF(Prices!A799="","",Prices!A799)</f>
        <v/>
      </c>
      <c r="B799" s="14" t="str">
        <f aca="false">IF(A799="","",Prices!C799)</f>
        <v/>
      </c>
      <c r="C799" s="15" t="str">
        <f aca="false">IF(A799="","",IFERROR(INDEX(FX!$B:$B,MATCH(A799,FX!$A:$A,1)),""))</f>
        <v/>
      </c>
      <c r="D799" s="14" t="str">
        <f aca="false">IF(A799="","",SUMIFS(Transactions!$D:$D,Transactions!$A:$A,"&lt;="&amp;A799,Transactions!$B:$B,Settings!$B$1))</f>
        <v/>
      </c>
      <c r="E799" s="14" t="str">
        <f aca="false">IF(A799="","",SUMIFS(Transactions!$C:$C,Transactions!$A:$A,"&lt;="&amp;A799,Transactions!$B:$B,Settings!$B$1)+SUMIFS(Transactions!$F:$F,Transactions!$A:$A,"&lt;="&amp;A799,Transactions!$B:$B,Settings!$B$1))</f>
        <v/>
      </c>
      <c r="F799" s="14" t="str">
        <f aca="false">IF(A799="","",IF(C799="","",D799*B799*C799))</f>
        <v/>
      </c>
      <c r="G799" s="14" t="str">
        <f aca="false">IF(F799="","",F799-E799)</f>
        <v/>
      </c>
      <c r="H799" s="14" t="str">
        <f aca="false">IF(F799="","",IFERROR(F799-F798-(E799-E798),0))</f>
        <v/>
      </c>
    </row>
    <row r="800" customFormat="false" ht="15" hidden="false" customHeight="false" outlineLevel="0" collapsed="false">
      <c r="A800" s="13" t="str">
        <f aca="false">IF(Prices!A800="","",Prices!A800)</f>
        <v/>
      </c>
      <c r="B800" s="14" t="str">
        <f aca="false">IF(A800="","",Prices!C800)</f>
        <v/>
      </c>
      <c r="C800" s="15" t="str">
        <f aca="false">IF(A800="","",IFERROR(INDEX(FX!$B:$B,MATCH(A800,FX!$A:$A,1)),""))</f>
        <v/>
      </c>
      <c r="D800" s="14" t="str">
        <f aca="false">IF(A800="","",SUMIFS(Transactions!$D:$D,Transactions!$A:$A,"&lt;="&amp;A800,Transactions!$B:$B,Settings!$B$1))</f>
        <v/>
      </c>
      <c r="E800" s="14" t="str">
        <f aca="false">IF(A800="","",SUMIFS(Transactions!$C:$C,Transactions!$A:$A,"&lt;="&amp;A800,Transactions!$B:$B,Settings!$B$1)+SUMIFS(Transactions!$F:$F,Transactions!$A:$A,"&lt;="&amp;A800,Transactions!$B:$B,Settings!$B$1))</f>
        <v/>
      </c>
      <c r="F800" s="14" t="str">
        <f aca="false">IF(A800="","",IF(C800="","",D800*B800*C800))</f>
        <v/>
      </c>
      <c r="G800" s="14" t="str">
        <f aca="false">IF(F800="","",F800-E800)</f>
        <v/>
      </c>
      <c r="H800" s="14" t="str">
        <f aca="false">IF(F800="","",IFERROR(F800-F799-(E800-E799),0))</f>
        <v/>
      </c>
    </row>
    <row r="801" customFormat="false" ht="15" hidden="false" customHeight="false" outlineLevel="0" collapsed="false">
      <c r="A801" s="13" t="str">
        <f aca="false">IF(Prices!A801="","",Prices!A801)</f>
        <v/>
      </c>
      <c r="B801" s="14" t="str">
        <f aca="false">IF(A801="","",Prices!C801)</f>
        <v/>
      </c>
      <c r="C801" s="15" t="str">
        <f aca="false">IF(A801="","",IFERROR(INDEX(FX!$B:$B,MATCH(A801,FX!$A:$A,1)),""))</f>
        <v/>
      </c>
      <c r="D801" s="14" t="str">
        <f aca="false">IF(A801="","",SUMIFS(Transactions!$D:$D,Transactions!$A:$A,"&lt;="&amp;A801,Transactions!$B:$B,Settings!$B$1))</f>
        <v/>
      </c>
      <c r="E801" s="14" t="str">
        <f aca="false">IF(A801="","",SUMIFS(Transactions!$C:$C,Transactions!$A:$A,"&lt;="&amp;A801,Transactions!$B:$B,Settings!$B$1)+SUMIFS(Transactions!$F:$F,Transactions!$A:$A,"&lt;="&amp;A801,Transactions!$B:$B,Settings!$B$1))</f>
        <v/>
      </c>
      <c r="F801" s="14" t="str">
        <f aca="false">IF(A801="","",IF(C801="","",D801*B801*C801))</f>
        <v/>
      </c>
      <c r="G801" s="14" t="str">
        <f aca="false">IF(F801="","",F801-E801)</f>
        <v/>
      </c>
      <c r="H801" s="14" t="str">
        <f aca="false">IF(F801="","",IFERROR(F801-F800-(E801-E800),0))</f>
        <v/>
      </c>
    </row>
    <row r="802" customFormat="false" ht="15" hidden="false" customHeight="false" outlineLevel="0" collapsed="false">
      <c r="A802" s="13" t="str">
        <f aca="false">IF(Prices!A802="","",Prices!A802)</f>
        <v/>
      </c>
      <c r="B802" s="14" t="str">
        <f aca="false">IF(A802="","",Prices!C802)</f>
        <v/>
      </c>
      <c r="C802" s="15" t="str">
        <f aca="false">IF(A802="","",IFERROR(INDEX(FX!$B:$B,MATCH(A802,FX!$A:$A,1)),""))</f>
        <v/>
      </c>
      <c r="D802" s="14" t="str">
        <f aca="false">IF(A802="","",SUMIFS(Transactions!$D:$D,Transactions!$A:$A,"&lt;="&amp;A802,Transactions!$B:$B,Settings!$B$1))</f>
        <v/>
      </c>
      <c r="E802" s="14" t="str">
        <f aca="false">IF(A802="","",SUMIFS(Transactions!$C:$C,Transactions!$A:$A,"&lt;="&amp;A802,Transactions!$B:$B,Settings!$B$1)+SUMIFS(Transactions!$F:$F,Transactions!$A:$A,"&lt;="&amp;A802,Transactions!$B:$B,Settings!$B$1))</f>
        <v/>
      </c>
      <c r="F802" s="14" t="str">
        <f aca="false">IF(A802="","",IF(C802="","",D802*B802*C802))</f>
        <v/>
      </c>
      <c r="G802" s="14" t="str">
        <f aca="false">IF(F802="","",F802-E802)</f>
        <v/>
      </c>
      <c r="H802" s="14" t="str">
        <f aca="false">IF(F802="","",IFERROR(F802-F801-(E802-E801),0))</f>
        <v/>
      </c>
    </row>
    <row r="803" customFormat="false" ht="15" hidden="false" customHeight="false" outlineLevel="0" collapsed="false">
      <c r="A803" s="13" t="str">
        <f aca="false">IF(Prices!A803="","",Prices!A803)</f>
        <v/>
      </c>
      <c r="B803" s="14" t="str">
        <f aca="false">IF(A803="","",Prices!C803)</f>
        <v/>
      </c>
      <c r="C803" s="15" t="str">
        <f aca="false">IF(A803="","",IFERROR(INDEX(FX!$B:$B,MATCH(A803,FX!$A:$A,1)),""))</f>
        <v/>
      </c>
      <c r="D803" s="14" t="str">
        <f aca="false">IF(A803="","",SUMIFS(Transactions!$D:$D,Transactions!$A:$A,"&lt;="&amp;A803,Transactions!$B:$B,Settings!$B$1))</f>
        <v/>
      </c>
      <c r="E803" s="14" t="str">
        <f aca="false">IF(A803="","",SUMIFS(Transactions!$C:$C,Transactions!$A:$A,"&lt;="&amp;A803,Transactions!$B:$B,Settings!$B$1)+SUMIFS(Transactions!$F:$F,Transactions!$A:$A,"&lt;="&amp;A803,Transactions!$B:$B,Settings!$B$1))</f>
        <v/>
      </c>
      <c r="F803" s="14" t="str">
        <f aca="false">IF(A803="","",IF(C803="","",D803*B803*C803))</f>
        <v/>
      </c>
      <c r="G803" s="14" t="str">
        <f aca="false">IF(F803="","",F803-E803)</f>
        <v/>
      </c>
      <c r="H803" s="14" t="str">
        <f aca="false">IF(F803="","",IFERROR(F803-F802-(E803-E802),0))</f>
        <v/>
      </c>
    </row>
    <row r="804" customFormat="false" ht="15" hidden="false" customHeight="false" outlineLevel="0" collapsed="false">
      <c r="A804" s="13" t="str">
        <f aca="false">IF(Prices!A804="","",Prices!A804)</f>
        <v/>
      </c>
      <c r="B804" s="14" t="str">
        <f aca="false">IF(A804="","",Prices!C804)</f>
        <v/>
      </c>
      <c r="C804" s="15" t="str">
        <f aca="false">IF(A804="","",IFERROR(INDEX(FX!$B:$B,MATCH(A804,FX!$A:$A,1)),""))</f>
        <v/>
      </c>
      <c r="D804" s="14" t="str">
        <f aca="false">IF(A804="","",SUMIFS(Transactions!$D:$D,Transactions!$A:$A,"&lt;="&amp;A804,Transactions!$B:$B,Settings!$B$1))</f>
        <v/>
      </c>
      <c r="E804" s="14" t="str">
        <f aca="false">IF(A804="","",SUMIFS(Transactions!$C:$C,Transactions!$A:$A,"&lt;="&amp;A804,Transactions!$B:$B,Settings!$B$1)+SUMIFS(Transactions!$F:$F,Transactions!$A:$A,"&lt;="&amp;A804,Transactions!$B:$B,Settings!$B$1))</f>
        <v/>
      </c>
      <c r="F804" s="14" t="str">
        <f aca="false">IF(A804="","",IF(C804="","",D804*B804*C804))</f>
        <v/>
      </c>
      <c r="G804" s="14" t="str">
        <f aca="false">IF(F804="","",F804-E804)</f>
        <v/>
      </c>
      <c r="H804" s="14" t="str">
        <f aca="false">IF(F804="","",IFERROR(F804-F803-(E804-E803),0))</f>
        <v/>
      </c>
    </row>
    <row r="805" customFormat="false" ht="15" hidden="false" customHeight="false" outlineLevel="0" collapsed="false">
      <c r="A805" s="13" t="str">
        <f aca="false">IF(Prices!A805="","",Prices!A805)</f>
        <v/>
      </c>
      <c r="B805" s="14" t="str">
        <f aca="false">IF(A805="","",Prices!C805)</f>
        <v/>
      </c>
      <c r="C805" s="15" t="str">
        <f aca="false">IF(A805="","",IFERROR(INDEX(FX!$B:$B,MATCH(A805,FX!$A:$A,1)),""))</f>
        <v/>
      </c>
      <c r="D805" s="14" t="str">
        <f aca="false">IF(A805="","",SUMIFS(Transactions!$D:$D,Transactions!$A:$A,"&lt;="&amp;A805,Transactions!$B:$B,Settings!$B$1))</f>
        <v/>
      </c>
      <c r="E805" s="14" t="str">
        <f aca="false">IF(A805="","",SUMIFS(Transactions!$C:$C,Transactions!$A:$A,"&lt;="&amp;A805,Transactions!$B:$B,Settings!$B$1)+SUMIFS(Transactions!$F:$F,Transactions!$A:$A,"&lt;="&amp;A805,Transactions!$B:$B,Settings!$B$1))</f>
        <v/>
      </c>
      <c r="F805" s="14" t="str">
        <f aca="false">IF(A805="","",IF(C805="","",D805*B805*C805))</f>
        <v/>
      </c>
      <c r="G805" s="14" t="str">
        <f aca="false">IF(F805="","",F805-E805)</f>
        <v/>
      </c>
      <c r="H805" s="14" t="str">
        <f aca="false">IF(F805="","",IFERROR(F805-F804-(E805-E804),0))</f>
        <v/>
      </c>
    </row>
    <row r="806" customFormat="false" ht="15" hidden="false" customHeight="false" outlineLevel="0" collapsed="false">
      <c r="A806" s="13" t="str">
        <f aca="false">IF(Prices!A806="","",Prices!A806)</f>
        <v/>
      </c>
      <c r="B806" s="14" t="str">
        <f aca="false">IF(A806="","",Prices!C806)</f>
        <v/>
      </c>
      <c r="C806" s="15" t="str">
        <f aca="false">IF(A806="","",IFERROR(INDEX(FX!$B:$B,MATCH(A806,FX!$A:$A,1)),""))</f>
        <v/>
      </c>
      <c r="D806" s="14" t="str">
        <f aca="false">IF(A806="","",SUMIFS(Transactions!$D:$D,Transactions!$A:$A,"&lt;="&amp;A806,Transactions!$B:$B,Settings!$B$1))</f>
        <v/>
      </c>
      <c r="E806" s="14" t="str">
        <f aca="false">IF(A806="","",SUMIFS(Transactions!$C:$C,Transactions!$A:$A,"&lt;="&amp;A806,Transactions!$B:$B,Settings!$B$1)+SUMIFS(Transactions!$F:$F,Transactions!$A:$A,"&lt;="&amp;A806,Transactions!$B:$B,Settings!$B$1))</f>
        <v/>
      </c>
      <c r="F806" s="14" t="str">
        <f aca="false">IF(A806="","",IF(C806="","",D806*B806*C806))</f>
        <v/>
      </c>
      <c r="G806" s="14" t="str">
        <f aca="false">IF(F806="","",F806-E806)</f>
        <v/>
      </c>
      <c r="H806" s="14" t="str">
        <f aca="false">IF(F806="","",IFERROR(F806-F805-(E806-E805),0))</f>
        <v/>
      </c>
    </row>
    <row r="807" customFormat="false" ht="15" hidden="false" customHeight="false" outlineLevel="0" collapsed="false">
      <c r="A807" s="13" t="str">
        <f aca="false">IF(Prices!A807="","",Prices!A807)</f>
        <v/>
      </c>
      <c r="B807" s="14" t="str">
        <f aca="false">IF(A807="","",Prices!C807)</f>
        <v/>
      </c>
      <c r="C807" s="15" t="str">
        <f aca="false">IF(A807="","",IFERROR(INDEX(FX!$B:$B,MATCH(A807,FX!$A:$A,1)),""))</f>
        <v/>
      </c>
      <c r="D807" s="14" t="str">
        <f aca="false">IF(A807="","",SUMIFS(Transactions!$D:$D,Transactions!$A:$A,"&lt;="&amp;A807,Transactions!$B:$B,Settings!$B$1))</f>
        <v/>
      </c>
      <c r="E807" s="14" t="str">
        <f aca="false">IF(A807="","",SUMIFS(Transactions!$C:$C,Transactions!$A:$A,"&lt;="&amp;A807,Transactions!$B:$B,Settings!$B$1)+SUMIFS(Transactions!$F:$F,Transactions!$A:$A,"&lt;="&amp;A807,Transactions!$B:$B,Settings!$B$1))</f>
        <v/>
      </c>
      <c r="F807" s="14" t="str">
        <f aca="false">IF(A807="","",IF(C807="","",D807*B807*C807))</f>
        <v/>
      </c>
      <c r="G807" s="14" t="str">
        <f aca="false">IF(F807="","",F807-E807)</f>
        <v/>
      </c>
      <c r="H807" s="14" t="str">
        <f aca="false">IF(F807="","",IFERROR(F807-F806-(E807-E806),0))</f>
        <v/>
      </c>
    </row>
    <row r="808" customFormat="false" ht="15" hidden="false" customHeight="false" outlineLevel="0" collapsed="false">
      <c r="A808" s="13" t="str">
        <f aca="false">IF(Prices!A808="","",Prices!A808)</f>
        <v/>
      </c>
      <c r="B808" s="14" t="str">
        <f aca="false">IF(A808="","",Prices!C808)</f>
        <v/>
      </c>
      <c r="C808" s="15" t="str">
        <f aca="false">IF(A808="","",IFERROR(INDEX(FX!$B:$B,MATCH(A808,FX!$A:$A,1)),""))</f>
        <v/>
      </c>
      <c r="D808" s="14" t="str">
        <f aca="false">IF(A808="","",SUMIFS(Transactions!$D:$D,Transactions!$A:$A,"&lt;="&amp;A808,Transactions!$B:$B,Settings!$B$1))</f>
        <v/>
      </c>
      <c r="E808" s="14" t="str">
        <f aca="false">IF(A808="","",SUMIFS(Transactions!$C:$C,Transactions!$A:$A,"&lt;="&amp;A808,Transactions!$B:$B,Settings!$B$1)+SUMIFS(Transactions!$F:$F,Transactions!$A:$A,"&lt;="&amp;A808,Transactions!$B:$B,Settings!$B$1))</f>
        <v/>
      </c>
      <c r="F808" s="14" t="str">
        <f aca="false">IF(A808="","",IF(C808="","",D808*B808*C808))</f>
        <v/>
      </c>
      <c r="G808" s="14" t="str">
        <f aca="false">IF(F808="","",F808-E808)</f>
        <v/>
      </c>
      <c r="H808" s="14" t="str">
        <f aca="false">IF(F808="","",IFERROR(F808-F807-(E808-E807),0))</f>
        <v/>
      </c>
    </row>
    <row r="809" customFormat="false" ht="15" hidden="false" customHeight="false" outlineLevel="0" collapsed="false">
      <c r="A809" s="13" t="str">
        <f aca="false">IF(Prices!A809="","",Prices!A809)</f>
        <v/>
      </c>
      <c r="B809" s="14" t="str">
        <f aca="false">IF(A809="","",Prices!C809)</f>
        <v/>
      </c>
      <c r="C809" s="15" t="str">
        <f aca="false">IF(A809="","",IFERROR(INDEX(FX!$B:$B,MATCH(A809,FX!$A:$A,1)),""))</f>
        <v/>
      </c>
      <c r="D809" s="14" t="str">
        <f aca="false">IF(A809="","",SUMIFS(Transactions!$D:$D,Transactions!$A:$A,"&lt;="&amp;A809,Transactions!$B:$B,Settings!$B$1))</f>
        <v/>
      </c>
      <c r="E809" s="14" t="str">
        <f aca="false">IF(A809="","",SUMIFS(Transactions!$C:$C,Transactions!$A:$A,"&lt;="&amp;A809,Transactions!$B:$B,Settings!$B$1)+SUMIFS(Transactions!$F:$F,Transactions!$A:$A,"&lt;="&amp;A809,Transactions!$B:$B,Settings!$B$1))</f>
        <v/>
      </c>
      <c r="F809" s="14" t="str">
        <f aca="false">IF(A809="","",IF(C809="","",D809*B809*C809))</f>
        <v/>
      </c>
      <c r="G809" s="14" t="str">
        <f aca="false">IF(F809="","",F809-E809)</f>
        <v/>
      </c>
      <c r="H809" s="14" t="str">
        <f aca="false">IF(F809="","",IFERROR(F809-F808-(E809-E808),0))</f>
        <v/>
      </c>
    </row>
    <row r="810" customFormat="false" ht="15" hidden="false" customHeight="false" outlineLevel="0" collapsed="false">
      <c r="A810" s="13" t="str">
        <f aca="false">IF(Prices!A810="","",Prices!A810)</f>
        <v/>
      </c>
      <c r="B810" s="14" t="str">
        <f aca="false">IF(A810="","",Prices!C810)</f>
        <v/>
      </c>
      <c r="C810" s="15" t="str">
        <f aca="false">IF(A810="","",IFERROR(INDEX(FX!$B:$B,MATCH(A810,FX!$A:$A,1)),""))</f>
        <v/>
      </c>
      <c r="D810" s="14" t="str">
        <f aca="false">IF(A810="","",SUMIFS(Transactions!$D:$D,Transactions!$A:$A,"&lt;="&amp;A810,Transactions!$B:$B,Settings!$B$1))</f>
        <v/>
      </c>
      <c r="E810" s="14" t="str">
        <f aca="false">IF(A810="","",SUMIFS(Transactions!$C:$C,Transactions!$A:$A,"&lt;="&amp;A810,Transactions!$B:$B,Settings!$B$1)+SUMIFS(Transactions!$F:$F,Transactions!$A:$A,"&lt;="&amp;A810,Transactions!$B:$B,Settings!$B$1))</f>
        <v/>
      </c>
      <c r="F810" s="14" t="str">
        <f aca="false">IF(A810="","",IF(C810="","",D810*B810*C810))</f>
        <v/>
      </c>
      <c r="G810" s="14" t="str">
        <f aca="false">IF(F810="","",F810-E810)</f>
        <v/>
      </c>
      <c r="H810" s="14" t="str">
        <f aca="false">IF(F810="","",IFERROR(F810-F809-(E810-E809),0))</f>
        <v/>
      </c>
    </row>
    <row r="811" customFormat="false" ht="15" hidden="false" customHeight="false" outlineLevel="0" collapsed="false">
      <c r="A811" s="13" t="str">
        <f aca="false">IF(Prices!A811="","",Prices!A811)</f>
        <v/>
      </c>
      <c r="B811" s="14" t="str">
        <f aca="false">IF(A811="","",Prices!C811)</f>
        <v/>
      </c>
      <c r="C811" s="15" t="str">
        <f aca="false">IF(A811="","",IFERROR(INDEX(FX!$B:$B,MATCH(A811,FX!$A:$A,1)),""))</f>
        <v/>
      </c>
      <c r="D811" s="14" t="str">
        <f aca="false">IF(A811="","",SUMIFS(Transactions!$D:$D,Transactions!$A:$A,"&lt;="&amp;A811,Transactions!$B:$B,Settings!$B$1))</f>
        <v/>
      </c>
      <c r="E811" s="14" t="str">
        <f aca="false">IF(A811="","",SUMIFS(Transactions!$C:$C,Transactions!$A:$A,"&lt;="&amp;A811,Transactions!$B:$B,Settings!$B$1)+SUMIFS(Transactions!$F:$F,Transactions!$A:$A,"&lt;="&amp;A811,Transactions!$B:$B,Settings!$B$1))</f>
        <v/>
      </c>
      <c r="F811" s="14" t="str">
        <f aca="false">IF(A811="","",IF(C811="","",D811*B811*C811))</f>
        <v/>
      </c>
      <c r="G811" s="14" t="str">
        <f aca="false">IF(F811="","",F811-E811)</f>
        <v/>
      </c>
      <c r="H811" s="14" t="str">
        <f aca="false">IF(F811="","",IFERROR(F811-F810-(E811-E810),0))</f>
        <v/>
      </c>
    </row>
    <row r="812" customFormat="false" ht="15" hidden="false" customHeight="false" outlineLevel="0" collapsed="false">
      <c r="A812" s="13" t="str">
        <f aca="false">IF(Prices!A812="","",Prices!A812)</f>
        <v/>
      </c>
      <c r="B812" s="14" t="str">
        <f aca="false">IF(A812="","",Prices!C812)</f>
        <v/>
      </c>
      <c r="C812" s="15" t="str">
        <f aca="false">IF(A812="","",IFERROR(INDEX(FX!$B:$B,MATCH(A812,FX!$A:$A,1)),""))</f>
        <v/>
      </c>
      <c r="D812" s="14" t="str">
        <f aca="false">IF(A812="","",SUMIFS(Transactions!$D:$D,Transactions!$A:$A,"&lt;="&amp;A812,Transactions!$B:$B,Settings!$B$1))</f>
        <v/>
      </c>
      <c r="E812" s="14" t="str">
        <f aca="false">IF(A812="","",SUMIFS(Transactions!$C:$C,Transactions!$A:$A,"&lt;="&amp;A812,Transactions!$B:$B,Settings!$B$1)+SUMIFS(Transactions!$F:$F,Transactions!$A:$A,"&lt;="&amp;A812,Transactions!$B:$B,Settings!$B$1))</f>
        <v/>
      </c>
      <c r="F812" s="14" t="str">
        <f aca="false">IF(A812="","",IF(C812="","",D812*B812*C812))</f>
        <v/>
      </c>
      <c r="G812" s="14" t="str">
        <f aca="false">IF(F812="","",F812-E812)</f>
        <v/>
      </c>
      <c r="H812" s="14" t="str">
        <f aca="false">IF(F812="","",IFERROR(F812-F811-(E812-E811),0))</f>
        <v/>
      </c>
    </row>
    <row r="813" customFormat="false" ht="15" hidden="false" customHeight="false" outlineLevel="0" collapsed="false">
      <c r="A813" s="13" t="str">
        <f aca="false">IF(Prices!A813="","",Prices!A813)</f>
        <v/>
      </c>
      <c r="B813" s="14" t="str">
        <f aca="false">IF(A813="","",Prices!C813)</f>
        <v/>
      </c>
      <c r="C813" s="15" t="str">
        <f aca="false">IF(A813="","",IFERROR(INDEX(FX!$B:$B,MATCH(A813,FX!$A:$A,1)),""))</f>
        <v/>
      </c>
      <c r="D813" s="14" t="str">
        <f aca="false">IF(A813="","",SUMIFS(Transactions!$D:$D,Transactions!$A:$A,"&lt;="&amp;A813,Transactions!$B:$B,Settings!$B$1))</f>
        <v/>
      </c>
      <c r="E813" s="14" t="str">
        <f aca="false">IF(A813="","",SUMIFS(Transactions!$C:$C,Transactions!$A:$A,"&lt;="&amp;A813,Transactions!$B:$B,Settings!$B$1)+SUMIFS(Transactions!$F:$F,Transactions!$A:$A,"&lt;="&amp;A813,Transactions!$B:$B,Settings!$B$1))</f>
        <v/>
      </c>
      <c r="F813" s="14" t="str">
        <f aca="false">IF(A813="","",IF(C813="","",D813*B813*C813))</f>
        <v/>
      </c>
      <c r="G813" s="14" t="str">
        <f aca="false">IF(F813="","",F813-E813)</f>
        <v/>
      </c>
      <c r="H813" s="14" t="str">
        <f aca="false">IF(F813="","",IFERROR(F813-F812-(E813-E812),0))</f>
        <v/>
      </c>
    </row>
    <row r="814" customFormat="false" ht="15" hidden="false" customHeight="false" outlineLevel="0" collapsed="false">
      <c r="A814" s="13" t="str">
        <f aca="false">IF(Prices!A814="","",Prices!A814)</f>
        <v/>
      </c>
      <c r="B814" s="14" t="str">
        <f aca="false">IF(A814="","",Prices!C814)</f>
        <v/>
      </c>
      <c r="C814" s="15" t="str">
        <f aca="false">IF(A814="","",IFERROR(INDEX(FX!$B:$B,MATCH(A814,FX!$A:$A,1)),""))</f>
        <v/>
      </c>
      <c r="D814" s="14" t="str">
        <f aca="false">IF(A814="","",SUMIFS(Transactions!$D:$D,Transactions!$A:$A,"&lt;="&amp;A814,Transactions!$B:$B,Settings!$B$1))</f>
        <v/>
      </c>
      <c r="E814" s="14" t="str">
        <f aca="false">IF(A814="","",SUMIFS(Transactions!$C:$C,Transactions!$A:$A,"&lt;="&amp;A814,Transactions!$B:$B,Settings!$B$1)+SUMIFS(Transactions!$F:$F,Transactions!$A:$A,"&lt;="&amp;A814,Transactions!$B:$B,Settings!$B$1))</f>
        <v/>
      </c>
      <c r="F814" s="14" t="str">
        <f aca="false">IF(A814="","",IF(C814="","",D814*B814*C814))</f>
        <v/>
      </c>
      <c r="G814" s="14" t="str">
        <f aca="false">IF(F814="","",F814-E814)</f>
        <v/>
      </c>
      <c r="H814" s="14" t="str">
        <f aca="false">IF(F814="","",IFERROR(F814-F813-(E814-E813),0))</f>
        <v/>
      </c>
    </row>
    <row r="815" customFormat="false" ht="15" hidden="false" customHeight="false" outlineLevel="0" collapsed="false">
      <c r="A815" s="13" t="str">
        <f aca="false">IF(Prices!A815="","",Prices!A815)</f>
        <v/>
      </c>
      <c r="B815" s="14" t="str">
        <f aca="false">IF(A815="","",Prices!C815)</f>
        <v/>
      </c>
      <c r="C815" s="15" t="str">
        <f aca="false">IF(A815="","",IFERROR(INDEX(FX!$B:$B,MATCH(A815,FX!$A:$A,1)),""))</f>
        <v/>
      </c>
      <c r="D815" s="14" t="str">
        <f aca="false">IF(A815="","",SUMIFS(Transactions!$D:$D,Transactions!$A:$A,"&lt;="&amp;A815,Transactions!$B:$B,Settings!$B$1))</f>
        <v/>
      </c>
      <c r="E815" s="14" t="str">
        <f aca="false">IF(A815="","",SUMIFS(Transactions!$C:$C,Transactions!$A:$A,"&lt;="&amp;A815,Transactions!$B:$B,Settings!$B$1)+SUMIFS(Transactions!$F:$F,Transactions!$A:$A,"&lt;="&amp;A815,Transactions!$B:$B,Settings!$B$1))</f>
        <v/>
      </c>
      <c r="F815" s="14" t="str">
        <f aca="false">IF(A815="","",IF(C815="","",D815*B815*C815))</f>
        <v/>
      </c>
      <c r="G815" s="14" t="str">
        <f aca="false">IF(F815="","",F815-E815)</f>
        <v/>
      </c>
      <c r="H815" s="14" t="str">
        <f aca="false">IF(F815="","",IFERROR(F815-F814-(E815-E814),0))</f>
        <v/>
      </c>
    </row>
    <row r="816" customFormat="false" ht="15" hidden="false" customHeight="false" outlineLevel="0" collapsed="false">
      <c r="A816" s="13" t="str">
        <f aca="false">IF(Prices!A816="","",Prices!A816)</f>
        <v/>
      </c>
      <c r="B816" s="14" t="str">
        <f aca="false">IF(A816="","",Prices!C816)</f>
        <v/>
      </c>
      <c r="C816" s="15" t="str">
        <f aca="false">IF(A816="","",IFERROR(INDEX(FX!$B:$B,MATCH(A816,FX!$A:$A,1)),""))</f>
        <v/>
      </c>
      <c r="D816" s="14" t="str">
        <f aca="false">IF(A816="","",SUMIFS(Transactions!$D:$D,Transactions!$A:$A,"&lt;="&amp;A816,Transactions!$B:$B,Settings!$B$1))</f>
        <v/>
      </c>
      <c r="E816" s="14" t="str">
        <f aca="false">IF(A816="","",SUMIFS(Transactions!$C:$C,Transactions!$A:$A,"&lt;="&amp;A816,Transactions!$B:$B,Settings!$B$1)+SUMIFS(Transactions!$F:$F,Transactions!$A:$A,"&lt;="&amp;A816,Transactions!$B:$B,Settings!$B$1))</f>
        <v/>
      </c>
      <c r="F816" s="14" t="str">
        <f aca="false">IF(A816="","",IF(C816="","",D816*B816*C816))</f>
        <v/>
      </c>
      <c r="G816" s="14" t="str">
        <f aca="false">IF(F816="","",F816-E816)</f>
        <v/>
      </c>
      <c r="H816" s="14" t="str">
        <f aca="false">IF(F816="","",IFERROR(F816-F815-(E816-E815),0))</f>
        <v/>
      </c>
    </row>
    <row r="817" customFormat="false" ht="15" hidden="false" customHeight="false" outlineLevel="0" collapsed="false">
      <c r="A817" s="13" t="str">
        <f aca="false">IF(Prices!A817="","",Prices!A817)</f>
        <v/>
      </c>
      <c r="B817" s="14" t="str">
        <f aca="false">IF(A817="","",Prices!C817)</f>
        <v/>
      </c>
      <c r="C817" s="15" t="str">
        <f aca="false">IF(A817="","",IFERROR(INDEX(FX!$B:$B,MATCH(A817,FX!$A:$A,1)),""))</f>
        <v/>
      </c>
      <c r="D817" s="14" t="str">
        <f aca="false">IF(A817="","",SUMIFS(Transactions!$D:$D,Transactions!$A:$A,"&lt;="&amp;A817,Transactions!$B:$B,Settings!$B$1))</f>
        <v/>
      </c>
      <c r="E817" s="14" t="str">
        <f aca="false">IF(A817="","",SUMIFS(Transactions!$C:$C,Transactions!$A:$A,"&lt;="&amp;A817,Transactions!$B:$B,Settings!$B$1)+SUMIFS(Transactions!$F:$F,Transactions!$A:$A,"&lt;="&amp;A817,Transactions!$B:$B,Settings!$B$1))</f>
        <v/>
      </c>
      <c r="F817" s="14" t="str">
        <f aca="false">IF(A817="","",IF(C817="","",D817*B817*C817))</f>
        <v/>
      </c>
      <c r="G817" s="14" t="str">
        <f aca="false">IF(F817="","",F817-E817)</f>
        <v/>
      </c>
      <c r="H817" s="14" t="str">
        <f aca="false">IF(F817="","",IFERROR(F817-F816-(E817-E816),0))</f>
        <v/>
      </c>
    </row>
    <row r="818" customFormat="false" ht="15" hidden="false" customHeight="false" outlineLevel="0" collapsed="false">
      <c r="A818" s="13" t="str">
        <f aca="false">IF(Prices!A818="","",Prices!A818)</f>
        <v/>
      </c>
      <c r="B818" s="14" t="str">
        <f aca="false">IF(A818="","",Prices!C818)</f>
        <v/>
      </c>
      <c r="C818" s="15" t="str">
        <f aca="false">IF(A818="","",IFERROR(INDEX(FX!$B:$B,MATCH(A818,FX!$A:$A,1)),""))</f>
        <v/>
      </c>
      <c r="D818" s="14" t="str">
        <f aca="false">IF(A818="","",SUMIFS(Transactions!$D:$D,Transactions!$A:$A,"&lt;="&amp;A818,Transactions!$B:$B,Settings!$B$1))</f>
        <v/>
      </c>
      <c r="E818" s="14" t="str">
        <f aca="false">IF(A818="","",SUMIFS(Transactions!$C:$C,Transactions!$A:$A,"&lt;="&amp;A818,Transactions!$B:$B,Settings!$B$1)+SUMIFS(Transactions!$F:$F,Transactions!$A:$A,"&lt;="&amp;A818,Transactions!$B:$B,Settings!$B$1))</f>
        <v/>
      </c>
      <c r="F818" s="14" t="str">
        <f aca="false">IF(A818="","",IF(C818="","",D818*B818*C818))</f>
        <v/>
      </c>
      <c r="G818" s="14" t="str">
        <f aca="false">IF(F818="","",F818-E818)</f>
        <v/>
      </c>
      <c r="H818" s="14" t="str">
        <f aca="false">IF(F818="","",IFERROR(F818-F817-(E818-E817),0))</f>
        <v/>
      </c>
    </row>
    <row r="819" customFormat="false" ht="15" hidden="false" customHeight="false" outlineLevel="0" collapsed="false">
      <c r="A819" s="13" t="str">
        <f aca="false">IF(Prices!A819="","",Prices!A819)</f>
        <v/>
      </c>
      <c r="B819" s="14" t="str">
        <f aca="false">IF(A819="","",Prices!C819)</f>
        <v/>
      </c>
      <c r="C819" s="15" t="str">
        <f aca="false">IF(A819="","",IFERROR(INDEX(FX!$B:$B,MATCH(A819,FX!$A:$A,1)),""))</f>
        <v/>
      </c>
      <c r="D819" s="14" t="str">
        <f aca="false">IF(A819="","",SUMIFS(Transactions!$D:$D,Transactions!$A:$A,"&lt;="&amp;A819,Transactions!$B:$B,Settings!$B$1))</f>
        <v/>
      </c>
      <c r="E819" s="14" t="str">
        <f aca="false">IF(A819="","",SUMIFS(Transactions!$C:$C,Transactions!$A:$A,"&lt;="&amp;A819,Transactions!$B:$B,Settings!$B$1)+SUMIFS(Transactions!$F:$F,Transactions!$A:$A,"&lt;="&amp;A819,Transactions!$B:$B,Settings!$B$1))</f>
        <v/>
      </c>
      <c r="F819" s="14" t="str">
        <f aca="false">IF(A819="","",IF(C819="","",D819*B819*C819))</f>
        <v/>
      </c>
      <c r="G819" s="14" t="str">
        <f aca="false">IF(F819="","",F819-E819)</f>
        <v/>
      </c>
      <c r="H819" s="14" t="str">
        <f aca="false">IF(F819="","",IFERROR(F819-F818-(E819-E818),0))</f>
        <v/>
      </c>
    </row>
    <row r="820" customFormat="false" ht="15" hidden="false" customHeight="false" outlineLevel="0" collapsed="false">
      <c r="A820" s="13" t="str">
        <f aca="false">IF(Prices!A820="","",Prices!A820)</f>
        <v/>
      </c>
      <c r="B820" s="14" t="str">
        <f aca="false">IF(A820="","",Prices!C820)</f>
        <v/>
      </c>
      <c r="C820" s="15" t="str">
        <f aca="false">IF(A820="","",IFERROR(INDEX(FX!$B:$B,MATCH(A820,FX!$A:$A,1)),""))</f>
        <v/>
      </c>
      <c r="D820" s="14" t="str">
        <f aca="false">IF(A820="","",SUMIFS(Transactions!$D:$D,Transactions!$A:$A,"&lt;="&amp;A820,Transactions!$B:$B,Settings!$B$1))</f>
        <v/>
      </c>
      <c r="E820" s="14" t="str">
        <f aca="false">IF(A820="","",SUMIFS(Transactions!$C:$C,Transactions!$A:$A,"&lt;="&amp;A820,Transactions!$B:$B,Settings!$B$1)+SUMIFS(Transactions!$F:$F,Transactions!$A:$A,"&lt;="&amp;A820,Transactions!$B:$B,Settings!$B$1))</f>
        <v/>
      </c>
      <c r="F820" s="14" t="str">
        <f aca="false">IF(A820="","",IF(C820="","",D820*B820*C820))</f>
        <v/>
      </c>
      <c r="G820" s="14" t="str">
        <f aca="false">IF(F820="","",F820-E820)</f>
        <v/>
      </c>
      <c r="H820" s="14" t="str">
        <f aca="false">IF(F820="","",IFERROR(F820-F819-(E820-E819),0))</f>
        <v/>
      </c>
    </row>
    <row r="821" customFormat="false" ht="15" hidden="false" customHeight="false" outlineLevel="0" collapsed="false">
      <c r="A821" s="13" t="str">
        <f aca="false">IF(Prices!A821="","",Prices!A821)</f>
        <v/>
      </c>
      <c r="B821" s="14" t="str">
        <f aca="false">IF(A821="","",Prices!C821)</f>
        <v/>
      </c>
      <c r="C821" s="15" t="str">
        <f aca="false">IF(A821="","",IFERROR(INDEX(FX!$B:$B,MATCH(A821,FX!$A:$A,1)),""))</f>
        <v/>
      </c>
      <c r="D821" s="14" t="str">
        <f aca="false">IF(A821="","",SUMIFS(Transactions!$D:$D,Transactions!$A:$A,"&lt;="&amp;A821,Transactions!$B:$B,Settings!$B$1))</f>
        <v/>
      </c>
      <c r="E821" s="14" t="str">
        <f aca="false">IF(A821="","",SUMIFS(Transactions!$C:$C,Transactions!$A:$A,"&lt;="&amp;A821,Transactions!$B:$B,Settings!$B$1)+SUMIFS(Transactions!$F:$F,Transactions!$A:$A,"&lt;="&amp;A821,Transactions!$B:$B,Settings!$B$1))</f>
        <v/>
      </c>
      <c r="F821" s="14" t="str">
        <f aca="false">IF(A821="","",IF(C821="","",D821*B821*C821))</f>
        <v/>
      </c>
      <c r="G821" s="14" t="str">
        <f aca="false">IF(F821="","",F821-E821)</f>
        <v/>
      </c>
      <c r="H821" s="14" t="str">
        <f aca="false">IF(F821="","",IFERROR(F821-F820-(E821-E820),0))</f>
        <v/>
      </c>
    </row>
    <row r="822" customFormat="false" ht="15" hidden="false" customHeight="false" outlineLevel="0" collapsed="false">
      <c r="A822" s="13" t="str">
        <f aca="false">IF(Prices!A822="","",Prices!A822)</f>
        <v/>
      </c>
      <c r="B822" s="14" t="str">
        <f aca="false">IF(A822="","",Prices!C822)</f>
        <v/>
      </c>
      <c r="C822" s="15" t="str">
        <f aca="false">IF(A822="","",IFERROR(INDEX(FX!$B:$B,MATCH(A822,FX!$A:$A,1)),""))</f>
        <v/>
      </c>
      <c r="D822" s="14" t="str">
        <f aca="false">IF(A822="","",SUMIFS(Transactions!$D:$D,Transactions!$A:$A,"&lt;="&amp;A822,Transactions!$B:$B,Settings!$B$1))</f>
        <v/>
      </c>
      <c r="E822" s="14" t="str">
        <f aca="false">IF(A822="","",SUMIFS(Transactions!$C:$C,Transactions!$A:$A,"&lt;="&amp;A822,Transactions!$B:$B,Settings!$B$1)+SUMIFS(Transactions!$F:$F,Transactions!$A:$A,"&lt;="&amp;A822,Transactions!$B:$B,Settings!$B$1))</f>
        <v/>
      </c>
      <c r="F822" s="14" t="str">
        <f aca="false">IF(A822="","",IF(C822="","",D822*B822*C822))</f>
        <v/>
      </c>
      <c r="G822" s="14" t="str">
        <f aca="false">IF(F822="","",F822-E822)</f>
        <v/>
      </c>
      <c r="H822" s="14" t="str">
        <f aca="false">IF(F822="","",IFERROR(F822-F821-(E822-E821),0))</f>
        <v/>
      </c>
    </row>
    <row r="823" customFormat="false" ht="15" hidden="false" customHeight="false" outlineLevel="0" collapsed="false">
      <c r="A823" s="13" t="str">
        <f aca="false">IF(Prices!A823="","",Prices!A823)</f>
        <v/>
      </c>
      <c r="B823" s="14" t="str">
        <f aca="false">IF(A823="","",Prices!C823)</f>
        <v/>
      </c>
      <c r="C823" s="15" t="str">
        <f aca="false">IF(A823="","",IFERROR(INDEX(FX!$B:$B,MATCH(A823,FX!$A:$A,1)),""))</f>
        <v/>
      </c>
      <c r="D823" s="14" t="str">
        <f aca="false">IF(A823="","",SUMIFS(Transactions!$D:$D,Transactions!$A:$A,"&lt;="&amp;A823,Transactions!$B:$B,Settings!$B$1))</f>
        <v/>
      </c>
      <c r="E823" s="14" t="str">
        <f aca="false">IF(A823="","",SUMIFS(Transactions!$C:$C,Transactions!$A:$A,"&lt;="&amp;A823,Transactions!$B:$B,Settings!$B$1)+SUMIFS(Transactions!$F:$F,Transactions!$A:$A,"&lt;="&amp;A823,Transactions!$B:$B,Settings!$B$1))</f>
        <v/>
      </c>
      <c r="F823" s="14" t="str">
        <f aca="false">IF(A823="","",IF(C823="","",D823*B823*C823))</f>
        <v/>
      </c>
      <c r="G823" s="14" t="str">
        <f aca="false">IF(F823="","",F823-E823)</f>
        <v/>
      </c>
      <c r="H823" s="14" t="str">
        <f aca="false">IF(F823="","",IFERROR(F823-F822-(E823-E822),0))</f>
        <v/>
      </c>
    </row>
    <row r="824" customFormat="false" ht="15" hidden="false" customHeight="false" outlineLevel="0" collapsed="false">
      <c r="A824" s="13" t="str">
        <f aca="false">IF(Prices!A824="","",Prices!A824)</f>
        <v/>
      </c>
      <c r="B824" s="14" t="str">
        <f aca="false">IF(A824="","",Prices!C824)</f>
        <v/>
      </c>
      <c r="C824" s="15" t="str">
        <f aca="false">IF(A824="","",IFERROR(INDEX(FX!$B:$B,MATCH(A824,FX!$A:$A,1)),""))</f>
        <v/>
      </c>
      <c r="D824" s="14" t="str">
        <f aca="false">IF(A824="","",SUMIFS(Transactions!$D:$D,Transactions!$A:$A,"&lt;="&amp;A824,Transactions!$B:$B,Settings!$B$1))</f>
        <v/>
      </c>
      <c r="E824" s="14" t="str">
        <f aca="false">IF(A824="","",SUMIFS(Transactions!$C:$C,Transactions!$A:$A,"&lt;="&amp;A824,Transactions!$B:$B,Settings!$B$1)+SUMIFS(Transactions!$F:$F,Transactions!$A:$A,"&lt;="&amp;A824,Transactions!$B:$B,Settings!$B$1))</f>
        <v/>
      </c>
      <c r="F824" s="14" t="str">
        <f aca="false">IF(A824="","",IF(C824="","",D824*B824*C824))</f>
        <v/>
      </c>
      <c r="G824" s="14" t="str">
        <f aca="false">IF(F824="","",F824-E824)</f>
        <v/>
      </c>
      <c r="H824" s="14" t="str">
        <f aca="false">IF(F824="","",IFERROR(F824-F823-(E824-E823),0))</f>
        <v/>
      </c>
    </row>
    <row r="825" customFormat="false" ht="15" hidden="false" customHeight="false" outlineLevel="0" collapsed="false">
      <c r="A825" s="13" t="str">
        <f aca="false">IF(Prices!A825="","",Prices!A825)</f>
        <v/>
      </c>
      <c r="B825" s="14" t="str">
        <f aca="false">IF(A825="","",Prices!C825)</f>
        <v/>
      </c>
      <c r="C825" s="15" t="str">
        <f aca="false">IF(A825="","",IFERROR(INDEX(FX!$B:$B,MATCH(A825,FX!$A:$A,1)),""))</f>
        <v/>
      </c>
      <c r="D825" s="14" t="str">
        <f aca="false">IF(A825="","",SUMIFS(Transactions!$D:$D,Transactions!$A:$A,"&lt;="&amp;A825,Transactions!$B:$B,Settings!$B$1))</f>
        <v/>
      </c>
      <c r="E825" s="14" t="str">
        <f aca="false">IF(A825="","",SUMIFS(Transactions!$C:$C,Transactions!$A:$A,"&lt;="&amp;A825,Transactions!$B:$B,Settings!$B$1)+SUMIFS(Transactions!$F:$F,Transactions!$A:$A,"&lt;="&amp;A825,Transactions!$B:$B,Settings!$B$1))</f>
        <v/>
      </c>
      <c r="F825" s="14" t="str">
        <f aca="false">IF(A825="","",IF(C825="","",D825*B825*C825))</f>
        <v/>
      </c>
      <c r="G825" s="14" t="str">
        <f aca="false">IF(F825="","",F825-E825)</f>
        <v/>
      </c>
      <c r="H825" s="14" t="str">
        <f aca="false">IF(F825="","",IFERROR(F825-F824-(E825-E824),0))</f>
        <v/>
      </c>
    </row>
    <row r="826" customFormat="false" ht="15" hidden="false" customHeight="false" outlineLevel="0" collapsed="false">
      <c r="A826" s="13" t="str">
        <f aca="false">IF(Prices!A826="","",Prices!A826)</f>
        <v/>
      </c>
      <c r="B826" s="14" t="str">
        <f aca="false">IF(A826="","",Prices!C826)</f>
        <v/>
      </c>
      <c r="C826" s="15" t="str">
        <f aca="false">IF(A826="","",IFERROR(INDEX(FX!$B:$B,MATCH(A826,FX!$A:$A,1)),""))</f>
        <v/>
      </c>
      <c r="D826" s="14" t="str">
        <f aca="false">IF(A826="","",SUMIFS(Transactions!$D:$D,Transactions!$A:$A,"&lt;="&amp;A826,Transactions!$B:$B,Settings!$B$1))</f>
        <v/>
      </c>
      <c r="E826" s="14" t="str">
        <f aca="false">IF(A826="","",SUMIFS(Transactions!$C:$C,Transactions!$A:$A,"&lt;="&amp;A826,Transactions!$B:$B,Settings!$B$1)+SUMIFS(Transactions!$F:$F,Transactions!$A:$A,"&lt;="&amp;A826,Transactions!$B:$B,Settings!$B$1))</f>
        <v/>
      </c>
      <c r="F826" s="14" t="str">
        <f aca="false">IF(A826="","",IF(C826="","",D826*B826*C826))</f>
        <v/>
      </c>
      <c r="G826" s="14" t="str">
        <f aca="false">IF(F826="","",F826-E826)</f>
        <v/>
      </c>
      <c r="H826" s="14" t="str">
        <f aca="false">IF(F826="","",IFERROR(F826-F825-(E826-E825),0))</f>
        <v/>
      </c>
    </row>
    <row r="827" customFormat="false" ht="15" hidden="false" customHeight="false" outlineLevel="0" collapsed="false">
      <c r="A827" s="13" t="str">
        <f aca="false">IF(Prices!A827="","",Prices!A827)</f>
        <v/>
      </c>
      <c r="B827" s="14" t="str">
        <f aca="false">IF(A827="","",Prices!C827)</f>
        <v/>
      </c>
      <c r="C827" s="15" t="str">
        <f aca="false">IF(A827="","",IFERROR(INDEX(FX!$B:$B,MATCH(A827,FX!$A:$A,1)),""))</f>
        <v/>
      </c>
      <c r="D827" s="14" t="str">
        <f aca="false">IF(A827="","",SUMIFS(Transactions!$D:$D,Transactions!$A:$A,"&lt;="&amp;A827,Transactions!$B:$B,Settings!$B$1))</f>
        <v/>
      </c>
      <c r="E827" s="14" t="str">
        <f aca="false">IF(A827="","",SUMIFS(Transactions!$C:$C,Transactions!$A:$A,"&lt;="&amp;A827,Transactions!$B:$B,Settings!$B$1)+SUMIFS(Transactions!$F:$F,Transactions!$A:$A,"&lt;="&amp;A827,Transactions!$B:$B,Settings!$B$1))</f>
        <v/>
      </c>
      <c r="F827" s="14" t="str">
        <f aca="false">IF(A827="","",IF(C827="","",D827*B827*C827))</f>
        <v/>
      </c>
      <c r="G827" s="14" t="str">
        <f aca="false">IF(F827="","",F827-E827)</f>
        <v/>
      </c>
      <c r="H827" s="14" t="str">
        <f aca="false">IF(F827="","",IFERROR(F827-F826-(E827-E826),0))</f>
        <v/>
      </c>
    </row>
    <row r="828" customFormat="false" ht="15" hidden="false" customHeight="false" outlineLevel="0" collapsed="false">
      <c r="A828" s="13" t="str">
        <f aca="false">IF(Prices!A828="","",Prices!A828)</f>
        <v/>
      </c>
      <c r="B828" s="14" t="str">
        <f aca="false">IF(A828="","",Prices!C828)</f>
        <v/>
      </c>
      <c r="C828" s="15" t="str">
        <f aca="false">IF(A828="","",IFERROR(INDEX(FX!$B:$B,MATCH(A828,FX!$A:$A,1)),""))</f>
        <v/>
      </c>
      <c r="D828" s="14" t="str">
        <f aca="false">IF(A828="","",SUMIFS(Transactions!$D:$D,Transactions!$A:$A,"&lt;="&amp;A828,Transactions!$B:$B,Settings!$B$1))</f>
        <v/>
      </c>
      <c r="E828" s="14" t="str">
        <f aca="false">IF(A828="","",SUMIFS(Transactions!$C:$C,Transactions!$A:$A,"&lt;="&amp;A828,Transactions!$B:$B,Settings!$B$1)+SUMIFS(Transactions!$F:$F,Transactions!$A:$A,"&lt;="&amp;A828,Transactions!$B:$B,Settings!$B$1))</f>
        <v/>
      </c>
      <c r="F828" s="14" t="str">
        <f aca="false">IF(A828="","",IF(C828="","",D828*B828*C828))</f>
        <v/>
      </c>
      <c r="G828" s="14" t="str">
        <f aca="false">IF(F828="","",F828-E828)</f>
        <v/>
      </c>
      <c r="H828" s="14" t="str">
        <f aca="false">IF(F828="","",IFERROR(F828-F827-(E828-E827),0))</f>
        <v/>
      </c>
    </row>
    <row r="829" customFormat="false" ht="15" hidden="false" customHeight="false" outlineLevel="0" collapsed="false">
      <c r="A829" s="13" t="str">
        <f aca="false">IF(Prices!A829="","",Prices!A829)</f>
        <v/>
      </c>
      <c r="B829" s="14" t="str">
        <f aca="false">IF(A829="","",Prices!C829)</f>
        <v/>
      </c>
      <c r="C829" s="15" t="str">
        <f aca="false">IF(A829="","",IFERROR(INDEX(FX!$B:$B,MATCH(A829,FX!$A:$A,1)),""))</f>
        <v/>
      </c>
      <c r="D829" s="14" t="str">
        <f aca="false">IF(A829="","",SUMIFS(Transactions!$D:$D,Transactions!$A:$A,"&lt;="&amp;A829,Transactions!$B:$B,Settings!$B$1))</f>
        <v/>
      </c>
      <c r="E829" s="14" t="str">
        <f aca="false">IF(A829="","",SUMIFS(Transactions!$C:$C,Transactions!$A:$A,"&lt;="&amp;A829,Transactions!$B:$B,Settings!$B$1)+SUMIFS(Transactions!$F:$F,Transactions!$A:$A,"&lt;="&amp;A829,Transactions!$B:$B,Settings!$B$1))</f>
        <v/>
      </c>
      <c r="F829" s="14" t="str">
        <f aca="false">IF(A829="","",IF(C829="","",D829*B829*C829))</f>
        <v/>
      </c>
      <c r="G829" s="14" t="str">
        <f aca="false">IF(F829="","",F829-E829)</f>
        <v/>
      </c>
      <c r="H829" s="14" t="str">
        <f aca="false">IF(F829="","",IFERROR(F829-F828-(E829-E828),0))</f>
        <v/>
      </c>
    </row>
    <row r="830" customFormat="false" ht="15" hidden="false" customHeight="false" outlineLevel="0" collapsed="false">
      <c r="A830" s="13" t="str">
        <f aca="false">IF(Prices!A830="","",Prices!A830)</f>
        <v/>
      </c>
      <c r="B830" s="14" t="str">
        <f aca="false">IF(A830="","",Prices!C830)</f>
        <v/>
      </c>
      <c r="C830" s="15" t="str">
        <f aca="false">IF(A830="","",IFERROR(INDEX(FX!$B:$B,MATCH(A830,FX!$A:$A,1)),""))</f>
        <v/>
      </c>
      <c r="D830" s="14" t="str">
        <f aca="false">IF(A830="","",SUMIFS(Transactions!$D:$D,Transactions!$A:$A,"&lt;="&amp;A830,Transactions!$B:$B,Settings!$B$1))</f>
        <v/>
      </c>
      <c r="E830" s="14" t="str">
        <f aca="false">IF(A830="","",SUMIFS(Transactions!$C:$C,Transactions!$A:$A,"&lt;="&amp;A830,Transactions!$B:$B,Settings!$B$1)+SUMIFS(Transactions!$F:$F,Transactions!$A:$A,"&lt;="&amp;A830,Transactions!$B:$B,Settings!$B$1))</f>
        <v/>
      </c>
      <c r="F830" s="14" t="str">
        <f aca="false">IF(A830="","",IF(C830="","",D830*B830*C830))</f>
        <v/>
      </c>
      <c r="G830" s="14" t="str">
        <f aca="false">IF(F830="","",F830-E830)</f>
        <v/>
      </c>
      <c r="H830" s="14" t="str">
        <f aca="false">IF(F830="","",IFERROR(F830-F829-(E830-E829),0))</f>
        <v/>
      </c>
    </row>
    <row r="831" customFormat="false" ht="15" hidden="false" customHeight="false" outlineLevel="0" collapsed="false">
      <c r="A831" s="13" t="str">
        <f aca="false">IF(Prices!A831="","",Prices!A831)</f>
        <v/>
      </c>
      <c r="B831" s="14" t="str">
        <f aca="false">IF(A831="","",Prices!C831)</f>
        <v/>
      </c>
      <c r="C831" s="15" t="str">
        <f aca="false">IF(A831="","",IFERROR(INDEX(FX!$B:$B,MATCH(A831,FX!$A:$A,1)),""))</f>
        <v/>
      </c>
      <c r="D831" s="14" t="str">
        <f aca="false">IF(A831="","",SUMIFS(Transactions!$D:$D,Transactions!$A:$A,"&lt;="&amp;A831,Transactions!$B:$B,Settings!$B$1))</f>
        <v/>
      </c>
      <c r="E831" s="14" t="str">
        <f aca="false">IF(A831="","",SUMIFS(Transactions!$C:$C,Transactions!$A:$A,"&lt;="&amp;A831,Transactions!$B:$B,Settings!$B$1)+SUMIFS(Transactions!$F:$F,Transactions!$A:$A,"&lt;="&amp;A831,Transactions!$B:$B,Settings!$B$1))</f>
        <v/>
      </c>
      <c r="F831" s="14" t="str">
        <f aca="false">IF(A831="","",IF(C831="","",D831*B831*C831))</f>
        <v/>
      </c>
      <c r="G831" s="14" t="str">
        <f aca="false">IF(F831="","",F831-E831)</f>
        <v/>
      </c>
      <c r="H831" s="14" t="str">
        <f aca="false">IF(F831="","",IFERROR(F831-F830-(E831-E830),0))</f>
        <v/>
      </c>
    </row>
    <row r="832" customFormat="false" ht="15" hidden="false" customHeight="false" outlineLevel="0" collapsed="false">
      <c r="A832" s="13" t="str">
        <f aca="false">IF(Prices!A832="","",Prices!A832)</f>
        <v/>
      </c>
      <c r="B832" s="14" t="str">
        <f aca="false">IF(A832="","",Prices!C832)</f>
        <v/>
      </c>
      <c r="C832" s="15" t="str">
        <f aca="false">IF(A832="","",IFERROR(INDEX(FX!$B:$B,MATCH(A832,FX!$A:$A,1)),""))</f>
        <v/>
      </c>
      <c r="D832" s="14" t="str">
        <f aca="false">IF(A832="","",SUMIFS(Transactions!$D:$D,Transactions!$A:$A,"&lt;="&amp;A832,Transactions!$B:$B,Settings!$B$1))</f>
        <v/>
      </c>
      <c r="E832" s="14" t="str">
        <f aca="false">IF(A832="","",SUMIFS(Transactions!$C:$C,Transactions!$A:$A,"&lt;="&amp;A832,Transactions!$B:$B,Settings!$B$1)+SUMIFS(Transactions!$F:$F,Transactions!$A:$A,"&lt;="&amp;A832,Transactions!$B:$B,Settings!$B$1))</f>
        <v/>
      </c>
      <c r="F832" s="14" t="str">
        <f aca="false">IF(A832="","",IF(C832="","",D832*B832*C832))</f>
        <v/>
      </c>
      <c r="G832" s="14" t="str">
        <f aca="false">IF(F832="","",F832-E832)</f>
        <v/>
      </c>
      <c r="H832" s="14" t="str">
        <f aca="false">IF(F832="","",IFERROR(F832-F831-(E832-E831),0))</f>
        <v/>
      </c>
    </row>
    <row r="833" customFormat="false" ht="15" hidden="false" customHeight="false" outlineLevel="0" collapsed="false">
      <c r="A833" s="13" t="str">
        <f aca="false">IF(Prices!A833="","",Prices!A833)</f>
        <v/>
      </c>
      <c r="B833" s="14" t="str">
        <f aca="false">IF(A833="","",Prices!C833)</f>
        <v/>
      </c>
      <c r="C833" s="15" t="str">
        <f aca="false">IF(A833="","",IFERROR(INDEX(FX!$B:$B,MATCH(A833,FX!$A:$A,1)),""))</f>
        <v/>
      </c>
      <c r="D833" s="14" t="str">
        <f aca="false">IF(A833="","",SUMIFS(Transactions!$D:$D,Transactions!$A:$A,"&lt;="&amp;A833,Transactions!$B:$B,Settings!$B$1))</f>
        <v/>
      </c>
      <c r="E833" s="14" t="str">
        <f aca="false">IF(A833="","",SUMIFS(Transactions!$C:$C,Transactions!$A:$A,"&lt;="&amp;A833,Transactions!$B:$B,Settings!$B$1)+SUMIFS(Transactions!$F:$F,Transactions!$A:$A,"&lt;="&amp;A833,Transactions!$B:$B,Settings!$B$1))</f>
        <v/>
      </c>
      <c r="F833" s="14" t="str">
        <f aca="false">IF(A833="","",IF(C833="","",D833*B833*C833))</f>
        <v/>
      </c>
      <c r="G833" s="14" t="str">
        <f aca="false">IF(F833="","",F833-E833)</f>
        <v/>
      </c>
      <c r="H833" s="14" t="str">
        <f aca="false">IF(F833="","",IFERROR(F833-F832-(E833-E832),0))</f>
        <v/>
      </c>
    </row>
    <row r="834" customFormat="false" ht="15" hidden="false" customHeight="false" outlineLevel="0" collapsed="false">
      <c r="A834" s="13" t="str">
        <f aca="false">IF(Prices!A834="","",Prices!A834)</f>
        <v/>
      </c>
      <c r="B834" s="14" t="str">
        <f aca="false">IF(A834="","",Prices!C834)</f>
        <v/>
      </c>
      <c r="C834" s="15" t="str">
        <f aca="false">IF(A834="","",IFERROR(INDEX(FX!$B:$B,MATCH(A834,FX!$A:$A,1)),""))</f>
        <v/>
      </c>
      <c r="D834" s="14" t="str">
        <f aca="false">IF(A834="","",SUMIFS(Transactions!$D:$D,Transactions!$A:$A,"&lt;="&amp;A834,Transactions!$B:$B,Settings!$B$1))</f>
        <v/>
      </c>
      <c r="E834" s="14" t="str">
        <f aca="false">IF(A834="","",SUMIFS(Transactions!$C:$C,Transactions!$A:$A,"&lt;="&amp;A834,Transactions!$B:$B,Settings!$B$1)+SUMIFS(Transactions!$F:$F,Transactions!$A:$A,"&lt;="&amp;A834,Transactions!$B:$B,Settings!$B$1))</f>
        <v/>
      </c>
      <c r="F834" s="14" t="str">
        <f aca="false">IF(A834="","",IF(C834="","",D834*B834*C834))</f>
        <v/>
      </c>
      <c r="G834" s="14" t="str">
        <f aca="false">IF(F834="","",F834-E834)</f>
        <v/>
      </c>
      <c r="H834" s="14" t="str">
        <f aca="false">IF(F834="","",IFERROR(F834-F833-(E834-E833),0))</f>
        <v/>
      </c>
    </row>
    <row r="835" customFormat="false" ht="15" hidden="false" customHeight="false" outlineLevel="0" collapsed="false">
      <c r="A835" s="13" t="str">
        <f aca="false">IF(Prices!A835="","",Prices!A835)</f>
        <v/>
      </c>
      <c r="B835" s="14" t="str">
        <f aca="false">IF(A835="","",Prices!C835)</f>
        <v/>
      </c>
      <c r="C835" s="15" t="str">
        <f aca="false">IF(A835="","",IFERROR(INDEX(FX!$B:$B,MATCH(A835,FX!$A:$A,1)),""))</f>
        <v/>
      </c>
      <c r="D835" s="14" t="str">
        <f aca="false">IF(A835="","",SUMIFS(Transactions!$D:$D,Transactions!$A:$A,"&lt;="&amp;A835,Transactions!$B:$B,Settings!$B$1))</f>
        <v/>
      </c>
      <c r="E835" s="14" t="str">
        <f aca="false">IF(A835="","",SUMIFS(Transactions!$C:$C,Transactions!$A:$A,"&lt;="&amp;A835,Transactions!$B:$B,Settings!$B$1)+SUMIFS(Transactions!$F:$F,Transactions!$A:$A,"&lt;="&amp;A835,Transactions!$B:$B,Settings!$B$1))</f>
        <v/>
      </c>
      <c r="F835" s="14" t="str">
        <f aca="false">IF(A835="","",IF(C835="","",D835*B835*C835))</f>
        <v/>
      </c>
      <c r="G835" s="14" t="str">
        <f aca="false">IF(F835="","",F835-E835)</f>
        <v/>
      </c>
      <c r="H835" s="14" t="str">
        <f aca="false">IF(F835="","",IFERROR(F835-F834-(E835-E834),0))</f>
        <v/>
      </c>
    </row>
    <row r="836" customFormat="false" ht="15" hidden="false" customHeight="false" outlineLevel="0" collapsed="false">
      <c r="A836" s="13" t="str">
        <f aca="false">IF(Prices!A836="","",Prices!A836)</f>
        <v/>
      </c>
      <c r="B836" s="14" t="str">
        <f aca="false">IF(A836="","",Prices!C836)</f>
        <v/>
      </c>
      <c r="C836" s="15" t="str">
        <f aca="false">IF(A836="","",IFERROR(INDEX(FX!$B:$B,MATCH(A836,FX!$A:$A,1)),""))</f>
        <v/>
      </c>
      <c r="D836" s="14" t="str">
        <f aca="false">IF(A836="","",SUMIFS(Transactions!$D:$D,Transactions!$A:$A,"&lt;="&amp;A836,Transactions!$B:$B,Settings!$B$1))</f>
        <v/>
      </c>
      <c r="E836" s="14" t="str">
        <f aca="false">IF(A836="","",SUMIFS(Transactions!$C:$C,Transactions!$A:$A,"&lt;="&amp;A836,Transactions!$B:$B,Settings!$B$1)+SUMIFS(Transactions!$F:$F,Transactions!$A:$A,"&lt;="&amp;A836,Transactions!$B:$B,Settings!$B$1))</f>
        <v/>
      </c>
      <c r="F836" s="14" t="str">
        <f aca="false">IF(A836="","",IF(C836="","",D836*B836*C836))</f>
        <v/>
      </c>
      <c r="G836" s="14" t="str">
        <f aca="false">IF(F836="","",F836-E836)</f>
        <v/>
      </c>
      <c r="H836" s="14" t="str">
        <f aca="false">IF(F836="","",IFERROR(F836-F835-(E836-E835),0))</f>
        <v/>
      </c>
    </row>
    <row r="837" customFormat="false" ht="15" hidden="false" customHeight="false" outlineLevel="0" collapsed="false">
      <c r="A837" s="13" t="str">
        <f aca="false">IF(Prices!A837="","",Prices!A837)</f>
        <v/>
      </c>
      <c r="B837" s="14" t="str">
        <f aca="false">IF(A837="","",Prices!C837)</f>
        <v/>
      </c>
      <c r="C837" s="15" t="str">
        <f aca="false">IF(A837="","",IFERROR(INDEX(FX!$B:$B,MATCH(A837,FX!$A:$A,1)),""))</f>
        <v/>
      </c>
      <c r="D837" s="14" t="str">
        <f aca="false">IF(A837="","",SUMIFS(Transactions!$D:$D,Transactions!$A:$A,"&lt;="&amp;A837,Transactions!$B:$B,Settings!$B$1))</f>
        <v/>
      </c>
      <c r="E837" s="14" t="str">
        <f aca="false">IF(A837="","",SUMIFS(Transactions!$C:$C,Transactions!$A:$A,"&lt;="&amp;A837,Transactions!$B:$B,Settings!$B$1)+SUMIFS(Transactions!$F:$F,Transactions!$A:$A,"&lt;="&amp;A837,Transactions!$B:$B,Settings!$B$1))</f>
        <v/>
      </c>
      <c r="F837" s="14" t="str">
        <f aca="false">IF(A837="","",IF(C837="","",D837*B837*C837))</f>
        <v/>
      </c>
      <c r="G837" s="14" t="str">
        <f aca="false">IF(F837="","",F837-E837)</f>
        <v/>
      </c>
      <c r="H837" s="14" t="str">
        <f aca="false">IF(F837="","",IFERROR(F837-F836-(E837-E836),0))</f>
        <v/>
      </c>
    </row>
    <row r="838" customFormat="false" ht="15" hidden="false" customHeight="false" outlineLevel="0" collapsed="false">
      <c r="A838" s="13" t="str">
        <f aca="false">IF(Prices!A838="","",Prices!A838)</f>
        <v/>
      </c>
      <c r="B838" s="14" t="str">
        <f aca="false">IF(A838="","",Prices!C838)</f>
        <v/>
      </c>
      <c r="C838" s="15" t="str">
        <f aca="false">IF(A838="","",IFERROR(INDEX(FX!$B:$B,MATCH(A838,FX!$A:$A,1)),""))</f>
        <v/>
      </c>
      <c r="D838" s="14" t="str">
        <f aca="false">IF(A838="","",SUMIFS(Transactions!$D:$D,Transactions!$A:$A,"&lt;="&amp;A838,Transactions!$B:$B,Settings!$B$1))</f>
        <v/>
      </c>
      <c r="E838" s="14" t="str">
        <f aca="false">IF(A838="","",SUMIFS(Transactions!$C:$C,Transactions!$A:$A,"&lt;="&amp;A838,Transactions!$B:$B,Settings!$B$1)+SUMIFS(Transactions!$F:$F,Transactions!$A:$A,"&lt;="&amp;A838,Transactions!$B:$B,Settings!$B$1))</f>
        <v/>
      </c>
      <c r="F838" s="14" t="str">
        <f aca="false">IF(A838="","",IF(C838="","",D838*B838*C838))</f>
        <v/>
      </c>
      <c r="G838" s="14" t="str">
        <f aca="false">IF(F838="","",F838-E838)</f>
        <v/>
      </c>
      <c r="H838" s="14" t="str">
        <f aca="false">IF(F838="","",IFERROR(F838-F837-(E838-E837),0))</f>
        <v/>
      </c>
    </row>
    <row r="839" customFormat="false" ht="15" hidden="false" customHeight="false" outlineLevel="0" collapsed="false">
      <c r="A839" s="13" t="str">
        <f aca="false">IF(Prices!A839="","",Prices!A839)</f>
        <v/>
      </c>
      <c r="B839" s="14" t="str">
        <f aca="false">IF(A839="","",Prices!C839)</f>
        <v/>
      </c>
      <c r="C839" s="15" t="str">
        <f aca="false">IF(A839="","",IFERROR(INDEX(FX!$B:$B,MATCH(A839,FX!$A:$A,1)),""))</f>
        <v/>
      </c>
      <c r="D839" s="14" t="str">
        <f aca="false">IF(A839="","",SUMIFS(Transactions!$D:$D,Transactions!$A:$A,"&lt;="&amp;A839,Transactions!$B:$B,Settings!$B$1))</f>
        <v/>
      </c>
      <c r="E839" s="14" t="str">
        <f aca="false">IF(A839="","",SUMIFS(Transactions!$C:$C,Transactions!$A:$A,"&lt;="&amp;A839,Transactions!$B:$B,Settings!$B$1)+SUMIFS(Transactions!$F:$F,Transactions!$A:$A,"&lt;="&amp;A839,Transactions!$B:$B,Settings!$B$1))</f>
        <v/>
      </c>
      <c r="F839" s="14" t="str">
        <f aca="false">IF(A839="","",IF(C839="","",D839*B839*C839))</f>
        <v/>
      </c>
      <c r="G839" s="14" t="str">
        <f aca="false">IF(F839="","",F839-E839)</f>
        <v/>
      </c>
      <c r="H839" s="14" t="str">
        <f aca="false">IF(F839="","",IFERROR(F839-F838-(E839-E838),0))</f>
        <v/>
      </c>
    </row>
    <row r="840" customFormat="false" ht="15" hidden="false" customHeight="false" outlineLevel="0" collapsed="false">
      <c r="A840" s="13" t="str">
        <f aca="false">IF(Prices!A840="","",Prices!A840)</f>
        <v/>
      </c>
      <c r="B840" s="14" t="str">
        <f aca="false">IF(A840="","",Prices!C840)</f>
        <v/>
      </c>
      <c r="C840" s="15" t="str">
        <f aca="false">IF(A840="","",IFERROR(INDEX(FX!$B:$B,MATCH(A840,FX!$A:$A,1)),""))</f>
        <v/>
      </c>
      <c r="D840" s="14" t="str">
        <f aca="false">IF(A840="","",SUMIFS(Transactions!$D:$D,Transactions!$A:$A,"&lt;="&amp;A840,Transactions!$B:$B,Settings!$B$1))</f>
        <v/>
      </c>
      <c r="E840" s="14" t="str">
        <f aca="false">IF(A840="","",SUMIFS(Transactions!$C:$C,Transactions!$A:$A,"&lt;="&amp;A840,Transactions!$B:$B,Settings!$B$1)+SUMIFS(Transactions!$F:$F,Transactions!$A:$A,"&lt;="&amp;A840,Transactions!$B:$B,Settings!$B$1))</f>
        <v/>
      </c>
      <c r="F840" s="14" t="str">
        <f aca="false">IF(A840="","",IF(C840="","",D840*B840*C840))</f>
        <v/>
      </c>
      <c r="G840" s="14" t="str">
        <f aca="false">IF(F840="","",F840-E840)</f>
        <v/>
      </c>
      <c r="H840" s="14" t="str">
        <f aca="false">IF(F840="","",IFERROR(F840-F839-(E840-E839),0))</f>
        <v/>
      </c>
    </row>
    <row r="841" customFormat="false" ht="15" hidden="false" customHeight="false" outlineLevel="0" collapsed="false">
      <c r="A841" s="13" t="str">
        <f aca="false">IF(Prices!A841="","",Prices!A841)</f>
        <v/>
      </c>
      <c r="B841" s="14" t="str">
        <f aca="false">IF(A841="","",Prices!C841)</f>
        <v/>
      </c>
      <c r="C841" s="15" t="str">
        <f aca="false">IF(A841="","",IFERROR(INDEX(FX!$B:$B,MATCH(A841,FX!$A:$A,1)),""))</f>
        <v/>
      </c>
      <c r="D841" s="14" t="str">
        <f aca="false">IF(A841="","",SUMIFS(Transactions!$D:$D,Transactions!$A:$A,"&lt;="&amp;A841,Transactions!$B:$B,Settings!$B$1))</f>
        <v/>
      </c>
      <c r="E841" s="14" t="str">
        <f aca="false">IF(A841="","",SUMIFS(Transactions!$C:$C,Transactions!$A:$A,"&lt;="&amp;A841,Transactions!$B:$B,Settings!$B$1)+SUMIFS(Transactions!$F:$F,Transactions!$A:$A,"&lt;="&amp;A841,Transactions!$B:$B,Settings!$B$1))</f>
        <v/>
      </c>
      <c r="F841" s="14" t="str">
        <f aca="false">IF(A841="","",IF(C841="","",D841*B841*C841))</f>
        <v/>
      </c>
      <c r="G841" s="14" t="str">
        <f aca="false">IF(F841="","",F841-E841)</f>
        <v/>
      </c>
      <c r="H841" s="14" t="str">
        <f aca="false">IF(F841="","",IFERROR(F841-F840-(E841-E840),0))</f>
        <v/>
      </c>
    </row>
    <row r="842" customFormat="false" ht="15" hidden="false" customHeight="false" outlineLevel="0" collapsed="false">
      <c r="A842" s="13" t="str">
        <f aca="false">IF(Prices!A842="","",Prices!A842)</f>
        <v/>
      </c>
      <c r="B842" s="14" t="str">
        <f aca="false">IF(A842="","",Prices!C842)</f>
        <v/>
      </c>
      <c r="C842" s="15" t="str">
        <f aca="false">IF(A842="","",IFERROR(INDEX(FX!$B:$B,MATCH(A842,FX!$A:$A,1)),""))</f>
        <v/>
      </c>
      <c r="D842" s="14" t="str">
        <f aca="false">IF(A842="","",SUMIFS(Transactions!$D:$D,Transactions!$A:$A,"&lt;="&amp;A842,Transactions!$B:$B,Settings!$B$1))</f>
        <v/>
      </c>
      <c r="E842" s="14" t="str">
        <f aca="false">IF(A842="","",SUMIFS(Transactions!$C:$C,Transactions!$A:$A,"&lt;="&amp;A842,Transactions!$B:$B,Settings!$B$1)+SUMIFS(Transactions!$F:$F,Transactions!$A:$A,"&lt;="&amp;A842,Transactions!$B:$B,Settings!$B$1))</f>
        <v/>
      </c>
      <c r="F842" s="14" t="str">
        <f aca="false">IF(A842="","",IF(C842="","",D842*B842*C842))</f>
        <v/>
      </c>
      <c r="G842" s="14" t="str">
        <f aca="false">IF(F842="","",F842-E842)</f>
        <v/>
      </c>
      <c r="H842" s="14" t="str">
        <f aca="false">IF(F842="","",IFERROR(F842-F841-(E842-E841),0))</f>
        <v/>
      </c>
    </row>
    <row r="843" customFormat="false" ht="15" hidden="false" customHeight="false" outlineLevel="0" collapsed="false">
      <c r="A843" s="13" t="str">
        <f aca="false">IF(Prices!A843="","",Prices!A843)</f>
        <v/>
      </c>
      <c r="B843" s="14" t="str">
        <f aca="false">IF(A843="","",Prices!C843)</f>
        <v/>
      </c>
      <c r="C843" s="15" t="str">
        <f aca="false">IF(A843="","",IFERROR(INDEX(FX!$B:$B,MATCH(A843,FX!$A:$A,1)),""))</f>
        <v/>
      </c>
      <c r="D843" s="14" t="str">
        <f aca="false">IF(A843="","",SUMIFS(Transactions!$D:$D,Transactions!$A:$A,"&lt;="&amp;A843,Transactions!$B:$B,Settings!$B$1))</f>
        <v/>
      </c>
      <c r="E843" s="14" t="str">
        <f aca="false">IF(A843="","",SUMIFS(Transactions!$C:$C,Transactions!$A:$A,"&lt;="&amp;A843,Transactions!$B:$B,Settings!$B$1)+SUMIFS(Transactions!$F:$F,Transactions!$A:$A,"&lt;="&amp;A843,Transactions!$B:$B,Settings!$B$1))</f>
        <v/>
      </c>
      <c r="F843" s="14" t="str">
        <f aca="false">IF(A843="","",IF(C843="","",D843*B843*C843))</f>
        <v/>
      </c>
      <c r="G843" s="14" t="str">
        <f aca="false">IF(F843="","",F843-E843)</f>
        <v/>
      </c>
      <c r="H843" s="14" t="str">
        <f aca="false">IF(F843="","",IFERROR(F843-F842-(E843-E842),0))</f>
        <v/>
      </c>
    </row>
    <row r="844" customFormat="false" ht="15" hidden="false" customHeight="false" outlineLevel="0" collapsed="false">
      <c r="A844" s="13" t="str">
        <f aca="false">IF(Prices!A844="","",Prices!A844)</f>
        <v/>
      </c>
      <c r="B844" s="14" t="str">
        <f aca="false">IF(A844="","",Prices!C844)</f>
        <v/>
      </c>
      <c r="C844" s="15" t="str">
        <f aca="false">IF(A844="","",IFERROR(INDEX(FX!$B:$B,MATCH(A844,FX!$A:$A,1)),""))</f>
        <v/>
      </c>
      <c r="D844" s="14" t="str">
        <f aca="false">IF(A844="","",SUMIFS(Transactions!$D:$D,Transactions!$A:$A,"&lt;="&amp;A844,Transactions!$B:$B,Settings!$B$1))</f>
        <v/>
      </c>
      <c r="E844" s="14" t="str">
        <f aca="false">IF(A844="","",SUMIFS(Transactions!$C:$C,Transactions!$A:$A,"&lt;="&amp;A844,Transactions!$B:$B,Settings!$B$1)+SUMIFS(Transactions!$F:$F,Transactions!$A:$A,"&lt;="&amp;A844,Transactions!$B:$B,Settings!$B$1))</f>
        <v/>
      </c>
      <c r="F844" s="14" t="str">
        <f aca="false">IF(A844="","",IF(C844="","",D844*B844*C844))</f>
        <v/>
      </c>
      <c r="G844" s="14" t="str">
        <f aca="false">IF(F844="","",F844-E844)</f>
        <v/>
      </c>
      <c r="H844" s="14" t="str">
        <f aca="false">IF(F844="","",IFERROR(F844-F843-(E844-E843),0))</f>
        <v/>
      </c>
    </row>
    <row r="845" customFormat="false" ht="15" hidden="false" customHeight="false" outlineLevel="0" collapsed="false">
      <c r="A845" s="13" t="str">
        <f aca="false">IF(Prices!A845="","",Prices!A845)</f>
        <v/>
      </c>
      <c r="B845" s="14" t="str">
        <f aca="false">IF(A845="","",Prices!C845)</f>
        <v/>
      </c>
      <c r="C845" s="15" t="str">
        <f aca="false">IF(A845="","",IFERROR(INDEX(FX!$B:$B,MATCH(A845,FX!$A:$A,1)),""))</f>
        <v/>
      </c>
      <c r="D845" s="14" t="str">
        <f aca="false">IF(A845="","",SUMIFS(Transactions!$D:$D,Transactions!$A:$A,"&lt;="&amp;A845,Transactions!$B:$B,Settings!$B$1))</f>
        <v/>
      </c>
      <c r="E845" s="14" t="str">
        <f aca="false">IF(A845="","",SUMIFS(Transactions!$C:$C,Transactions!$A:$A,"&lt;="&amp;A845,Transactions!$B:$B,Settings!$B$1)+SUMIFS(Transactions!$F:$F,Transactions!$A:$A,"&lt;="&amp;A845,Transactions!$B:$B,Settings!$B$1))</f>
        <v/>
      </c>
      <c r="F845" s="14" t="str">
        <f aca="false">IF(A845="","",IF(C845="","",D845*B845*C845))</f>
        <v/>
      </c>
      <c r="G845" s="14" t="str">
        <f aca="false">IF(F845="","",F845-E845)</f>
        <v/>
      </c>
      <c r="H845" s="14" t="str">
        <f aca="false">IF(F845="","",IFERROR(F845-F844-(E845-E844),0))</f>
        <v/>
      </c>
    </row>
    <row r="846" customFormat="false" ht="15" hidden="false" customHeight="false" outlineLevel="0" collapsed="false">
      <c r="A846" s="13" t="str">
        <f aca="false">IF(Prices!A846="","",Prices!A846)</f>
        <v/>
      </c>
      <c r="B846" s="14" t="str">
        <f aca="false">IF(A846="","",Prices!C846)</f>
        <v/>
      </c>
      <c r="C846" s="15" t="str">
        <f aca="false">IF(A846="","",IFERROR(INDEX(FX!$B:$B,MATCH(A846,FX!$A:$A,1)),""))</f>
        <v/>
      </c>
      <c r="D846" s="14" t="str">
        <f aca="false">IF(A846="","",SUMIFS(Transactions!$D:$D,Transactions!$A:$A,"&lt;="&amp;A846,Transactions!$B:$B,Settings!$B$1))</f>
        <v/>
      </c>
      <c r="E846" s="14" t="str">
        <f aca="false">IF(A846="","",SUMIFS(Transactions!$C:$C,Transactions!$A:$A,"&lt;="&amp;A846,Transactions!$B:$B,Settings!$B$1)+SUMIFS(Transactions!$F:$F,Transactions!$A:$A,"&lt;="&amp;A846,Transactions!$B:$B,Settings!$B$1))</f>
        <v/>
      </c>
      <c r="F846" s="14" t="str">
        <f aca="false">IF(A846="","",IF(C846="","",D846*B846*C846))</f>
        <v/>
      </c>
      <c r="G846" s="14" t="str">
        <f aca="false">IF(F846="","",F846-E846)</f>
        <v/>
      </c>
      <c r="H846" s="14" t="str">
        <f aca="false">IF(F846="","",IFERROR(F846-F845-(E846-E845),0))</f>
        <v/>
      </c>
    </row>
    <row r="847" customFormat="false" ht="15" hidden="false" customHeight="false" outlineLevel="0" collapsed="false">
      <c r="A847" s="13" t="str">
        <f aca="false">IF(Prices!A847="","",Prices!A847)</f>
        <v/>
      </c>
      <c r="B847" s="14" t="str">
        <f aca="false">IF(A847="","",Prices!C847)</f>
        <v/>
      </c>
      <c r="C847" s="15" t="str">
        <f aca="false">IF(A847="","",IFERROR(INDEX(FX!$B:$B,MATCH(A847,FX!$A:$A,1)),""))</f>
        <v/>
      </c>
      <c r="D847" s="14" t="str">
        <f aca="false">IF(A847="","",SUMIFS(Transactions!$D:$D,Transactions!$A:$A,"&lt;="&amp;A847,Transactions!$B:$B,Settings!$B$1))</f>
        <v/>
      </c>
      <c r="E847" s="14" t="str">
        <f aca="false">IF(A847="","",SUMIFS(Transactions!$C:$C,Transactions!$A:$A,"&lt;="&amp;A847,Transactions!$B:$B,Settings!$B$1)+SUMIFS(Transactions!$F:$F,Transactions!$A:$A,"&lt;="&amp;A847,Transactions!$B:$B,Settings!$B$1))</f>
        <v/>
      </c>
      <c r="F847" s="14" t="str">
        <f aca="false">IF(A847="","",IF(C847="","",D847*B847*C847))</f>
        <v/>
      </c>
      <c r="G847" s="14" t="str">
        <f aca="false">IF(F847="","",F847-E847)</f>
        <v/>
      </c>
      <c r="H847" s="14" t="str">
        <f aca="false">IF(F847="","",IFERROR(F847-F846-(E847-E846),0))</f>
        <v/>
      </c>
    </row>
    <row r="848" customFormat="false" ht="15" hidden="false" customHeight="false" outlineLevel="0" collapsed="false">
      <c r="A848" s="13" t="str">
        <f aca="false">IF(Prices!A848="","",Prices!A848)</f>
        <v/>
      </c>
      <c r="B848" s="14" t="str">
        <f aca="false">IF(A848="","",Prices!C848)</f>
        <v/>
      </c>
      <c r="C848" s="15" t="str">
        <f aca="false">IF(A848="","",IFERROR(INDEX(FX!$B:$B,MATCH(A848,FX!$A:$A,1)),""))</f>
        <v/>
      </c>
      <c r="D848" s="14" t="str">
        <f aca="false">IF(A848="","",SUMIFS(Transactions!$D:$D,Transactions!$A:$A,"&lt;="&amp;A848,Transactions!$B:$B,Settings!$B$1))</f>
        <v/>
      </c>
      <c r="E848" s="14" t="str">
        <f aca="false">IF(A848="","",SUMIFS(Transactions!$C:$C,Transactions!$A:$A,"&lt;="&amp;A848,Transactions!$B:$B,Settings!$B$1)+SUMIFS(Transactions!$F:$F,Transactions!$A:$A,"&lt;="&amp;A848,Transactions!$B:$B,Settings!$B$1))</f>
        <v/>
      </c>
      <c r="F848" s="14" t="str">
        <f aca="false">IF(A848="","",IF(C848="","",D848*B848*C848))</f>
        <v/>
      </c>
      <c r="G848" s="14" t="str">
        <f aca="false">IF(F848="","",F848-E848)</f>
        <v/>
      </c>
      <c r="H848" s="14" t="str">
        <f aca="false">IF(F848="","",IFERROR(F848-F847-(E848-E847),0))</f>
        <v/>
      </c>
    </row>
    <row r="849" customFormat="false" ht="15" hidden="false" customHeight="false" outlineLevel="0" collapsed="false">
      <c r="A849" s="13" t="str">
        <f aca="false">IF(Prices!A849="","",Prices!A849)</f>
        <v/>
      </c>
      <c r="B849" s="14" t="str">
        <f aca="false">IF(A849="","",Prices!C849)</f>
        <v/>
      </c>
      <c r="C849" s="15" t="str">
        <f aca="false">IF(A849="","",IFERROR(INDEX(FX!$B:$B,MATCH(A849,FX!$A:$A,1)),""))</f>
        <v/>
      </c>
      <c r="D849" s="14" t="str">
        <f aca="false">IF(A849="","",SUMIFS(Transactions!$D:$D,Transactions!$A:$A,"&lt;="&amp;A849,Transactions!$B:$B,Settings!$B$1))</f>
        <v/>
      </c>
      <c r="E849" s="14" t="str">
        <f aca="false">IF(A849="","",SUMIFS(Transactions!$C:$C,Transactions!$A:$A,"&lt;="&amp;A849,Transactions!$B:$B,Settings!$B$1)+SUMIFS(Transactions!$F:$F,Transactions!$A:$A,"&lt;="&amp;A849,Transactions!$B:$B,Settings!$B$1))</f>
        <v/>
      </c>
      <c r="F849" s="14" t="str">
        <f aca="false">IF(A849="","",IF(C849="","",D849*B849*C849))</f>
        <v/>
      </c>
      <c r="G849" s="14" t="str">
        <f aca="false">IF(F849="","",F849-E849)</f>
        <v/>
      </c>
      <c r="H849" s="14" t="str">
        <f aca="false">IF(F849="","",IFERROR(F849-F848-(E849-E848),0))</f>
        <v/>
      </c>
    </row>
    <row r="850" customFormat="false" ht="15" hidden="false" customHeight="false" outlineLevel="0" collapsed="false">
      <c r="A850" s="13" t="str">
        <f aca="false">IF(Prices!A850="","",Prices!A850)</f>
        <v/>
      </c>
      <c r="B850" s="14" t="str">
        <f aca="false">IF(A850="","",Prices!C850)</f>
        <v/>
      </c>
      <c r="C850" s="15" t="str">
        <f aca="false">IF(A850="","",IFERROR(INDEX(FX!$B:$B,MATCH(A850,FX!$A:$A,1)),""))</f>
        <v/>
      </c>
      <c r="D850" s="14" t="str">
        <f aca="false">IF(A850="","",SUMIFS(Transactions!$D:$D,Transactions!$A:$A,"&lt;="&amp;A850,Transactions!$B:$B,Settings!$B$1))</f>
        <v/>
      </c>
      <c r="E850" s="14" t="str">
        <f aca="false">IF(A850="","",SUMIFS(Transactions!$C:$C,Transactions!$A:$A,"&lt;="&amp;A850,Transactions!$B:$B,Settings!$B$1)+SUMIFS(Transactions!$F:$F,Transactions!$A:$A,"&lt;="&amp;A850,Transactions!$B:$B,Settings!$B$1))</f>
        <v/>
      </c>
      <c r="F850" s="14" t="str">
        <f aca="false">IF(A850="","",IF(C850="","",D850*B850*C850))</f>
        <v/>
      </c>
      <c r="G850" s="14" t="str">
        <f aca="false">IF(F850="","",F850-E850)</f>
        <v/>
      </c>
      <c r="H850" s="14" t="str">
        <f aca="false">IF(F850="","",IFERROR(F850-F849-(E850-E849),0))</f>
        <v/>
      </c>
    </row>
    <row r="851" customFormat="false" ht="15" hidden="false" customHeight="false" outlineLevel="0" collapsed="false">
      <c r="A851" s="13" t="str">
        <f aca="false">IF(Prices!A851="","",Prices!A851)</f>
        <v/>
      </c>
      <c r="B851" s="14" t="str">
        <f aca="false">IF(A851="","",Prices!C851)</f>
        <v/>
      </c>
      <c r="C851" s="15" t="str">
        <f aca="false">IF(A851="","",IFERROR(INDEX(FX!$B:$B,MATCH(A851,FX!$A:$A,1)),""))</f>
        <v/>
      </c>
      <c r="D851" s="14" t="str">
        <f aca="false">IF(A851="","",SUMIFS(Transactions!$D:$D,Transactions!$A:$A,"&lt;="&amp;A851,Transactions!$B:$B,Settings!$B$1))</f>
        <v/>
      </c>
      <c r="E851" s="14" t="str">
        <f aca="false">IF(A851="","",SUMIFS(Transactions!$C:$C,Transactions!$A:$A,"&lt;="&amp;A851,Transactions!$B:$B,Settings!$B$1)+SUMIFS(Transactions!$F:$F,Transactions!$A:$A,"&lt;="&amp;A851,Transactions!$B:$B,Settings!$B$1))</f>
        <v/>
      </c>
      <c r="F851" s="14" t="str">
        <f aca="false">IF(A851="","",IF(C851="","",D851*B851*C851))</f>
        <v/>
      </c>
      <c r="G851" s="14" t="str">
        <f aca="false">IF(F851="","",F851-E851)</f>
        <v/>
      </c>
      <c r="H851" s="14" t="str">
        <f aca="false">IF(F851="","",IFERROR(F851-F850-(E851-E850),0))</f>
        <v/>
      </c>
    </row>
    <row r="852" customFormat="false" ht="15" hidden="false" customHeight="false" outlineLevel="0" collapsed="false">
      <c r="A852" s="13" t="str">
        <f aca="false">IF(Prices!A852="","",Prices!A852)</f>
        <v/>
      </c>
      <c r="B852" s="14" t="str">
        <f aca="false">IF(A852="","",Prices!C852)</f>
        <v/>
      </c>
      <c r="C852" s="15" t="str">
        <f aca="false">IF(A852="","",IFERROR(INDEX(FX!$B:$B,MATCH(A852,FX!$A:$A,1)),""))</f>
        <v/>
      </c>
      <c r="D852" s="14" t="str">
        <f aca="false">IF(A852="","",SUMIFS(Transactions!$D:$D,Transactions!$A:$A,"&lt;="&amp;A852,Transactions!$B:$B,Settings!$B$1))</f>
        <v/>
      </c>
      <c r="E852" s="14" t="str">
        <f aca="false">IF(A852="","",SUMIFS(Transactions!$C:$C,Transactions!$A:$A,"&lt;="&amp;A852,Transactions!$B:$B,Settings!$B$1)+SUMIFS(Transactions!$F:$F,Transactions!$A:$A,"&lt;="&amp;A852,Transactions!$B:$B,Settings!$B$1))</f>
        <v/>
      </c>
      <c r="F852" s="14" t="str">
        <f aca="false">IF(A852="","",IF(C852="","",D852*B852*C852))</f>
        <v/>
      </c>
      <c r="G852" s="14" t="str">
        <f aca="false">IF(F852="","",F852-E852)</f>
        <v/>
      </c>
      <c r="H852" s="14" t="str">
        <f aca="false">IF(F852="","",IFERROR(F852-F851-(E852-E851),0))</f>
        <v/>
      </c>
    </row>
    <row r="853" customFormat="false" ht="15" hidden="false" customHeight="false" outlineLevel="0" collapsed="false">
      <c r="A853" s="13" t="str">
        <f aca="false">IF(Prices!A853="","",Prices!A853)</f>
        <v/>
      </c>
      <c r="B853" s="14" t="str">
        <f aca="false">IF(A853="","",Prices!C853)</f>
        <v/>
      </c>
      <c r="C853" s="15" t="str">
        <f aca="false">IF(A853="","",IFERROR(INDEX(FX!$B:$B,MATCH(A853,FX!$A:$A,1)),""))</f>
        <v/>
      </c>
      <c r="D853" s="14" t="str">
        <f aca="false">IF(A853="","",SUMIFS(Transactions!$D:$D,Transactions!$A:$A,"&lt;="&amp;A853,Transactions!$B:$B,Settings!$B$1))</f>
        <v/>
      </c>
      <c r="E853" s="14" t="str">
        <f aca="false">IF(A853="","",SUMIFS(Transactions!$C:$C,Transactions!$A:$A,"&lt;="&amp;A853,Transactions!$B:$B,Settings!$B$1)+SUMIFS(Transactions!$F:$F,Transactions!$A:$A,"&lt;="&amp;A853,Transactions!$B:$B,Settings!$B$1))</f>
        <v/>
      </c>
      <c r="F853" s="14" t="str">
        <f aca="false">IF(A853="","",IF(C853="","",D853*B853*C853))</f>
        <v/>
      </c>
      <c r="G853" s="14" t="str">
        <f aca="false">IF(F853="","",F853-E853)</f>
        <v/>
      </c>
      <c r="H853" s="14" t="str">
        <f aca="false">IF(F853="","",IFERROR(F853-F852-(E853-E852),0))</f>
        <v/>
      </c>
    </row>
    <row r="854" customFormat="false" ht="15" hidden="false" customHeight="false" outlineLevel="0" collapsed="false">
      <c r="A854" s="13" t="str">
        <f aca="false">IF(Prices!A854="","",Prices!A854)</f>
        <v/>
      </c>
      <c r="B854" s="14" t="str">
        <f aca="false">IF(A854="","",Prices!C854)</f>
        <v/>
      </c>
      <c r="C854" s="15" t="str">
        <f aca="false">IF(A854="","",IFERROR(INDEX(FX!$B:$B,MATCH(A854,FX!$A:$A,1)),""))</f>
        <v/>
      </c>
      <c r="D854" s="14" t="str">
        <f aca="false">IF(A854="","",SUMIFS(Transactions!$D:$D,Transactions!$A:$A,"&lt;="&amp;A854,Transactions!$B:$B,Settings!$B$1))</f>
        <v/>
      </c>
      <c r="E854" s="14" t="str">
        <f aca="false">IF(A854="","",SUMIFS(Transactions!$C:$C,Transactions!$A:$A,"&lt;="&amp;A854,Transactions!$B:$B,Settings!$B$1)+SUMIFS(Transactions!$F:$F,Transactions!$A:$A,"&lt;="&amp;A854,Transactions!$B:$B,Settings!$B$1))</f>
        <v/>
      </c>
      <c r="F854" s="14" t="str">
        <f aca="false">IF(A854="","",IF(C854="","",D854*B854*C854))</f>
        <v/>
      </c>
      <c r="G854" s="14" t="str">
        <f aca="false">IF(F854="","",F854-E854)</f>
        <v/>
      </c>
      <c r="H854" s="14" t="str">
        <f aca="false">IF(F854="","",IFERROR(F854-F853-(E854-E853),0))</f>
        <v/>
      </c>
    </row>
    <row r="855" customFormat="false" ht="15" hidden="false" customHeight="false" outlineLevel="0" collapsed="false">
      <c r="A855" s="13" t="str">
        <f aca="false">IF(Prices!A855="","",Prices!A855)</f>
        <v/>
      </c>
      <c r="B855" s="14" t="str">
        <f aca="false">IF(A855="","",Prices!C855)</f>
        <v/>
      </c>
      <c r="C855" s="15" t="str">
        <f aca="false">IF(A855="","",IFERROR(INDEX(FX!$B:$B,MATCH(A855,FX!$A:$A,1)),""))</f>
        <v/>
      </c>
      <c r="D855" s="14" t="str">
        <f aca="false">IF(A855="","",SUMIFS(Transactions!$D:$D,Transactions!$A:$A,"&lt;="&amp;A855,Transactions!$B:$B,Settings!$B$1))</f>
        <v/>
      </c>
      <c r="E855" s="14" t="str">
        <f aca="false">IF(A855="","",SUMIFS(Transactions!$C:$C,Transactions!$A:$A,"&lt;="&amp;A855,Transactions!$B:$B,Settings!$B$1)+SUMIFS(Transactions!$F:$F,Transactions!$A:$A,"&lt;="&amp;A855,Transactions!$B:$B,Settings!$B$1))</f>
        <v/>
      </c>
      <c r="F855" s="14" t="str">
        <f aca="false">IF(A855="","",IF(C855="","",D855*B855*C855))</f>
        <v/>
      </c>
      <c r="G855" s="14" t="str">
        <f aca="false">IF(F855="","",F855-E855)</f>
        <v/>
      </c>
      <c r="H855" s="14" t="str">
        <f aca="false">IF(F855="","",IFERROR(F855-F854-(E855-E854),0))</f>
        <v/>
      </c>
    </row>
    <row r="856" customFormat="false" ht="15" hidden="false" customHeight="false" outlineLevel="0" collapsed="false">
      <c r="A856" s="13" t="str">
        <f aca="false">IF(Prices!A856="","",Prices!A856)</f>
        <v/>
      </c>
      <c r="B856" s="14" t="str">
        <f aca="false">IF(A856="","",Prices!C856)</f>
        <v/>
      </c>
      <c r="C856" s="15" t="str">
        <f aca="false">IF(A856="","",IFERROR(INDEX(FX!$B:$B,MATCH(A856,FX!$A:$A,1)),""))</f>
        <v/>
      </c>
      <c r="D856" s="14" t="str">
        <f aca="false">IF(A856="","",SUMIFS(Transactions!$D:$D,Transactions!$A:$A,"&lt;="&amp;A856,Transactions!$B:$B,Settings!$B$1))</f>
        <v/>
      </c>
      <c r="E856" s="14" t="str">
        <f aca="false">IF(A856="","",SUMIFS(Transactions!$C:$C,Transactions!$A:$A,"&lt;="&amp;A856,Transactions!$B:$B,Settings!$B$1)+SUMIFS(Transactions!$F:$F,Transactions!$A:$A,"&lt;="&amp;A856,Transactions!$B:$B,Settings!$B$1))</f>
        <v/>
      </c>
      <c r="F856" s="14" t="str">
        <f aca="false">IF(A856="","",IF(C856="","",D856*B856*C856))</f>
        <v/>
      </c>
      <c r="G856" s="14" t="str">
        <f aca="false">IF(F856="","",F856-E856)</f>
        <v/>
      </c>
      <c r="H856" s="14" t="str">
        <f aca="false">IF(F856="","",IFERROR(F856-F855-(E856-E855),0))</f>
        <v/>
      </c>
    </row>
    <row r="857" customFormat="false" ht="15" hidden="false" customHeight="false" outlineLevel="0" collapsed="false">
      <c r="A857" s="13" t="str">
        <f aca="false">IF(Prices!A857="","",Prices!A857)</f>
        <v/>
      </c>
      <c r="B857" s="14" t="str">
        <f aca="false">IF(A857="","",Prices!C857)</f>
        <v/>
      </c>
      <c r="C857" s="15" t="str">
        <f aca="false">IF(A857="","",IFERROR(INDEX(FX!$B:$B,MATCH(A857,FX!$A:$A,1)),""))</f>
        <v/>
      </c>
      <c r="D857" s="14" t="str">
        <f aca="false">IF(A857="","",SUMIFS(Transactions!$D:$D,Transactions!$A:$A,"&lt;="&amp;A857,Transactions!$B:$B,Settings!$B$1))</f>
        <v/>
      </c>
      <c r="E857" s="14" t="str">
        <f aca="false">IF(A857="","",SUMIFS(Transactions!$C:$C,Transactions!$A:$A,"&lt;="&amp;A857,Transactions!$B:$B,Settings!$B$1)+SUMIFS(Transactions!$F:$F,Transactions!$A:$A,"&lt;="&amp;A857,Transactions!$B:$B,Settings!$B$1))</f>
        <v/>
      </c>
      <c r="F857" s="14" t="str">
        <f aca="false">IF(A857="","",IF(C857="","",D857*B857*C857))</f>
        <v/>
      </c>
      <c r="G857" s="14" t="str">
        <f aca="false">IF(F857="","",F857-E857)</f>
        <v/>
      </c>
      <c r="H857" s="14" t="str">
        <f aca="false">IF(F857="","",IFERROR(F857-F856-(E857-E856),0))</f>
        <v/>
      </c>
    </row>
    <row r="858" customFormat="false" ht="15" hidden="false" customHeight="false" outlineLevel="0" collapsed="false">
      <c r="A858" s="13" t="str">
        <f aca="false">IF(Prices!A858="","",Prices!A858)</f>
        <v/>
      </c>
      <c r="B858" s="14" t="str">
        <f aca="false">IF(A858="","",Prices!C858)</f>
        <v/>
      </c>
      <c r="C858" s="15" t="str">
        <f aca="false">IF(A858="","",IFERROR(INDEX(FX!$B:$B,MATCH(A858,FX!$A:$A,1)),""))</f>
        <v/>
      </c>
      <c r="D858" s="14" t="str">
        <f aca="false">IF(A858="","",SUMIFS(Transactions!$D:$D,Transactions!$A:$A,"&lt;="&amp;A858,Transactions!$B:$B,Settings!$B$1))</f>
        <v/>
      </c>
      <c r="E858" s="14" t="str">
        <f aca="false">IF(A858="","",SUMIFS(Transactions!$C:$C,Transactions!$A:$A,"&lt;="&amp;A858,Transactions!$B:$B,Settings!$B$1)+SUMIFS(Transactions!$F:$F,Transactions!$A:$A,"&lt;="&amp;A858,Transactions!$B:$B,Settings!$B$1))</f>
        <v/>
      </c>
      <c r="F858" s="14" t="str">
        <f aca="false">IF(A858="","",IF(C858="","",D858*B858*C858))</f>
        <v/>
      </c>
      <c r="G858" s="14" t="str">
        <f aca="false">IF(F858="","",F858-E858)</f>
        <v/>
      </c>
      <c r="H858" s="14" t="str">
        <f aca="false">IF(F858="","",IFERROR(F858-F857-(E858-E857),0))</f>
        <v/>
      </c>
    </row>
    <row r="859" customFormat="false" ht="15" hidden="false" customHeight="false" outlineLevel="0" collapsed="false">
      <c r="A859" s="13" t="str">
        <f aca="false">IF(Prices!A859="","",Prices!A859)</f>
        <v/>
      </c>
      <c r="B859" s="14" t="str">
        <f aca="false">IF(A859="","",Prices!C859)</f>
        <v/>
      </c>
      <c r="C859" s="15" t="str">
        <f aca="false">IF(A859="","",IFERROR(INDEX(FX!$B:$B,MATCH(A859,FX!$A:$A,1)),""))</f>
        <v/>
      </c>
      <c r="D859" s="14" t="str">
        <f aca="false">IF(A859="","",SUMIFS(Transactions!$D:$D,Transactions!$A:$A,"&lt;="&amp;A859,Transactions!$B:$B,Settings!$B$1))</f>
        <v/>
      </c>
      <c r="E859" s="14" t="str">
        <f aca="false">IF(A859="","",SUMIFS(Transactions!$C:$C,Transactions!$A:$A,"&lt;="&amp;A859,Transactions!$B:$B,Settings!$B$1)+SUMIFS(Transactions!$F:$F,Transactions!$A:$A,"&lt;="&amp;A859,Transactions!$B:$B,Settings!$B$1))</f>
        <v/>
      </c>
      <c r="F859" s="14" t="str">
        <f aca="false">IF(A859="","",IF(C859="","",D859*B859*C859))</f>
        <v/>
      </c>
      <c r="G859" s="14" t="str">
        <f aca="false">IF(F859="","",F859-E859)</f>
        <v/>
      </c>
      <c r="H859" s="14" t="str">
        <f aca="false">IF(F859="","",IFERROR(F859-F858-(E859-E858),0))</f>
        <v/>
      </c>
    </row>
    <row r="860" customFormat="false" ht="15" hidden="false" customHeight="false" outlineLevel="0" collapsed="false">
      <c r="A860" s="13" t="str">
        <f aca="false">IF(Prices!A860="","",Prices!A860)</f>
        <v/>
      </c>
      <c r="B860" s="14" t="str">
        <f aca="false">IF(A860="","",Prices!C860)</f>
        <v/>
      </c>
      <c r="C860" s="15" t="str">
        <f aca="false">IF(A860="","",IFERROR(INDEX(FX!$B:$B,MATCH(A860,FX!$A:$A,1)),""))</f>
        <v/>
      </c>
      <c r="D860" s="14" t="str">
        <f aca="false">IF(A860="","",SUMIFS(Transactions!$D:$D,Transactions!$A:$A,"&lt;="&amp;A860,Transactions!$B:$B,Settings!$B$1))</f>
        <v/>
      </c>
      <c r="E860" s="14" t="str">
        <f aca="false">IF(A860="","",SUMIFS(Transactions!$C:$C,Transactions!$A:$A,"&lt;="&amp;A860,Transactions!$B:$B,Settings!$B$1)+SUMIFS(Transactions!$F:$F,Transactions!$A:$A,"&lt;="&amp;A860,Transactions!$B:$B,Settings!$B$1))</f>
        <v/>
      </c>
      <c r="F860" s="14" t="str">
        <f aca="false">IF(A860="","",IF(C860="","",D860*B860*C860))</f>
        <v/>
      </c>
      <c r="G860" s="14" t="str">
        <f aca="false">IF(F860="","",F860-E860)</f>
        <v/>
      </c>
      <c r="H860" s="14" t="str">
        <f aca="false">IF(F860="","",IFERROR(F860-F859-(E860-E859),0))</f>
        <v/>
      </c>
    </row>
    <row r="861" customFormat="false" ht="15" hidden="false" customHeight="false" outlineLevel="0" collapsed="false">
      <c r="A861" s="13" t="str">
        <f aca="false">IF(Prices!A861="","",Prices!A861)</f>
        <v/>
      </c>
      <c r="B861" s="14" t="str">
        <f aca="false">IF(A861="","",Prices!C861)</f>
        <v/>
      </c>
      <c r="C861" s="15" t="str">
        <f aca="false">IF(A861="","",IFERROR(INDEX(FX!$B:$B,MATCH(A861,FX!$A:$A,1)),""))</f>
        <v/>
      </c>
      <c r="D861" s="14" t="str">
        <f aca="false">IF(A861="","",SUMIFS(Transactions!$D:$D,Transactions!$A:$A,"&lt;="&amp;A861,Transactions!$B:$B,Settings!$B$1))</f>
        <v/>
      </c>
      <c r="E861" s="14" t="str">
        <f aca="false">IF(A861="","",SUMIFS(Transactions!$C:$C,Transactions!$A:$A,"&lt;="&amp;A861,Transactions!$B:$B,Settings!$B$1)+SUMIFS(Transactions!$F:$F,Transactions!$A:$A,"&lt;="&amp;A861,Transactions!$B:$B,Settings!$B$1))</f>
        <v/>
      </c>
      <c r="F861" s="14" t="str">
        <f aca="false">IF(A861="","",IF(C861="","",D861*B861*C861))</f>
        <v/>
      </c>
      <c r="G861" s="14" t="str">
        <f aca="false">IF(F861="","",F861-E861)</f>
        <v/>
      </c>
      <c r="H861" s="14" t="str">
        <f aca="false">IF(F861="","",IFERROR(F861-F860-(E861-E860),0))</f>
        <v/>
      </c>
    </row>
    <row r="862" customFormat="false" ht="15" hidden="false" customHeight="false" outlineLevel="0" collapsed="false">
      <c r="A862" s="13" t="str">
        <f aca="false">IF(Prices!A862="","",Prices!A862)</f>
        <v/>
      </c>
      <c r="B862" s="14" t="str">
        <f aca="false">IF(A862="","",Prices!C862)</f>
        <v/>
      </c>
      <c r="C862" s="15" t="str">
        <f aca="false">IF(A862="","",IFERROR(INDEX(FX!$B:$B,MATCH(A862,FX!$A:$A,1)),""))</f>
        <v/>
      </c>
      <c r="D862" s="14" t="str">
        <f aca="false">IF(A862="","",SUMIFS(Transactions!$D:$D,Transactions!$A:$A,"&lt;="&amp;A862,Transactions!$B:$B,Settings!$B$1))</f>
        <v/>
      </c>
      <c r="E862" s="14" t="str">
        <f aca="false">IF(A862="","",SUMIFS(Transactions!$C:$C,Transactions!$A:$A,"&lt;="&amp;A862,Transactions!$B:$B,Settings!$B$1)+SUMIFS(Transactions!$F:$F,Transactions!$A:$A,"&lt;="&amp;A862,Transactions!$B:$B,Settings!$B$1))</f>
        <v/>
      </c>
      <c r="F862" s="14" t="str">
        <f aca="false">IF(A862="","",IF(C862="","",D862*B862*C862))</f>
        <v/>
      </c>
      <c r="G862" s="14" t="str">
        <f aca="false">IF(F862="","",F862-E862)</f>
        <v/>
      </c>
      <c r="H862" s="14" t="str">
        <f aca="false">IF(F862="","",IFERROR(F862-F861-(E862-E861),0))</f>
        <v/>
      </c>
    </row>
    <row r="863" customFormat="false" ht="15" hidden="false" customHeight="false" outlineLevel="0" collapsed="false">
      <c r="A863" s="13" t="str">
        <f aca="false">IF(Prices!A863="","",Prices!A863)</f>
        <v/>
      </c>
      <c r="B863" s="14" t="str">
        <f aca="false">IF(A863="","",Prices!C863)</f>
        <v/>
      </c>
      <c r="C863" s="15" t="str">
        <f aca="false">IF(A863="","",IFERROR(INDEX(FX!$B:$B,MATCH(A863,FX!$A:$A,1)),""))</f>
        <v/>
      </c>
      <c r="D863" s="14" t="str">
        <f aca="false">IF(A863="","",SUMIFS(Transactions!$D:$D,Transactions!$A:$A,"&lt;="&amp;A863,Transactions!$B:$B,Settings!$B$1))</f>
        <v/>
      </c>
      <c r="E863" s="14" t="str">
        <f aca="false">IF(A863="","",SUMIFS(Transactions!$C:$C,Transactions!$A:$A,"&lt;="&amp;A863,Transactions!$B:$B,Settings!$B$1)+SUMIFS(Transactions!$F:$F,Transactions!$A:$A,"&lt;="&amp;A863,Transactions!$B:$B,Settings!$B$1))</f>
        <v/>
      </c>
      <c r="F863" s="14" t="str">
        <f aca="false">IF(A863="","",IF(C863="","",D863*B863*C863))</f>
        <v/>
      </c>
      <c r="G863" s="14" t="str">
        <f aca="false">IF(F863="","",F863-E863)</f>
        <v/>
      </c>
      <c r="H863" s="14" t="str">
        <f aca="false">IF(F863="","",IFERROR(F863-F862-(E863-E862),0))</f>
        <v/>
      </c>
    </row>
    <row r="864" customFormat="false" ht="15" hidden="false" customHeight="false" outlineLevel="0" collapsed="false">
      <c r="A864" s="13" t="str">
        <f aca="false">IF(Prices!A864="","",Prices!A864)</f>
        <v/>
      </c>
      <c r="B864" s="14" t="str">
        <f aca="false">IF(A864="","",Prices!C864)</f>
        <v/>
      </c>
      <c r="C864" s="15" t="str">
        <f aca="false">IF(A864="","",IFERROR(INDEX(FX!$B:$B,MATCH(A864,FX!$A:$A,1)),""))</f>
        <v/>
      </c>
      <c r="D864" s="14" t="str">
        <f aca="false">IF(A864="","",SUMIFS(Transactions!$D:$D,Transactions!$A:$A,"&lt;="&amp;A864,Transactions!$B:$B,Settings!$B$1))</f>
        <v/>
      </c>
      <c r="E864" s="14" t="str">
        <f aca="false">IF(A864="","",SUMIFS(Transactions!$C:$C,Transactions!$A:$A,"&lt;="&amp;A864,Transactions!$B:$B,Settings!$B$1)+SUMIFS(Transactions!$F:$F,Transactions!$A:$A,"&lt;="&amp;A864,Transactions!$B:$B,Settings!$B$1))</f>
        <v/>
      </c>
      <c r="F864" s="14" t="str">
        <f aca="false">IF(A864="","",IF(C864="","",D864*B864*C864))</f>
        <v/>
      </c>
      <c r="G864" s="14" t="str">
        <f aca="false">IF(F864="","",F864-E864)</f>
        <v/>
      </c>
      <c r="H864" s="14" t="str">
        <f aca="false">IF(F864="","",IFERROR(F864-F863-(E864-E863),0))</f>
        <v/>
      </c>
    </row>
    <row r="865" customFormat="false" ht="15" hidden="false" customHeight="false" outlineLevel="0" collapsed="false">
      <c r="A865" s="13" t="str">
        <f aca="false">IF(Prices!A865="","",Prices!A865)</f>
        <v/>
      </c>
      <c r="B865" s="14" t="str">
        <f aca="false">IF(A865="","",Prices!C865)</f>
        <v/>
      </c>
      <c r="C865" s="15" t="str">
        <f aca="false">IF(A865="","",IFERROR(INDEX(FX!$B:$B,MATCH(A865,FX!$A:$A,1)),""))</f>
        <v/>
      </c>
      <c r="D865" s="14" t="str">
        <f aca="false">IF(A865="","",SUMIFS(Transactions!$D:$D,Transactions!$A:$A,"&lt;="&amp;A865,Transactions!$B:$B,Settings!$B$1))</f>
        <v/>
      </c>
      <c r="E865" s="14" t="str">
        <f aca="false">IF(A865="","",SUMIFS(Transactions!$C:$C,Transactions!$A:$A,"&lt;="&amp;A865,Transactions!$B:$B,Settings!$B$1)+SUMIFS(Transactions!$F:$F,Transactions!$A:$A,"&lt;="&amp;A865,Transactions!$B:$B,Settings!$B$1))</f>
        <v/>
      </c>
      <c r="F865" s="14" t="str">
        <f aca="false">IF(A865="","",IF(C865="","",D865*B865*C865))</f>
        <v/>
      </c>
      <c r="G865" s="14" t="str">
        <f aca="false">IF(F865="","",F865-E865)</f>
        <v/>
      </c>
      <c r="H865" s="14" t="str">
        <f aca="false">IF(F865="","",IFERROR(F865-F864-(E865-E864),0))</f>
        <v/>
      </c>
    </row>
    <row r="866" customFormat="false" ht="15" hidden="false" customHeight="false" outlineLevel="0" collapsed="false">
      <c r="A866" s="13" t="str">
        <f aca="false">IF(Prices!A866="","",Prices!A866)</f>
        <v/>
      </c>
      <c r="B866" s="14" t="str">
        <f aca="false">IF(A866="","",Prices!C866)</f>
        <v/>
      </c>
      <c r="C866" s="15" t="str">
        <f aca="false">IF(A866="","",IFERROR(INDEX(FX!$B:$B,MATCH(A866,FX!$A:$A,1)),""))</f>
        <v/>
      </c>
      <c r="D866" s="14" t="str">
        <f aca="false">IF(A866="","",SUMIFS(Transactions!$D:$D,Transactions!$A:$A,"&lt;="&amp;A866,Transactions!$B:$B,Settings!$B$1))</f>
        <v/>
      </c>
      <c r="E866" s="14" t="str">
        <f aca="false">IF(A866="","",SUMIFS(Transactions!$C:$C,Transactions!$A:$A,"&lt;="&amp;A866,Transactions!$B:$B,Settings!$B$1)+SUMIFS(Transactions!$F:$F,Transactions!$A:$A,"&lt;="&amp;A866,Transactions!$B:$B,Settings!$B$1))</f>
        <v/>
      </c>
      <c r="F866" s="14" t="str">
        <f aca="false">IF(A866="","",IF(C866="","",D866*B866*C866))</f>
        <v/>
      </c>
      <c r="G866" s="14" t="str">
        <f aca="false">IF(F866="","",F866-E866)</f>
        <v/>
      </c>
      <c r="H866" s="14" t="str">
        <f aca="false">IF(F866="","",IFERROR(F866-F865-(E866-E865),0))</f>
        <v/>
      </c>
    </row>
    <row r="867" customFormat="false" ht="15" hidden="false" customHeight="false" outlineLevel="0" collapsed="false">
      <c r="A867" s="13" t="str">
        <f aca="false">IF(Prices!A867="","",Prices!A867)</f>
        <v/>
      </c>
      <c r="B867" s="14" t="str">
        <f aca="false">IF(A867="","",Prices!C867)</f>
        <v/>
      </c>
      <c r="C867" s="15" t="str">
        <f aca="false">IF(A867="","",IFERROR(INDEX(FX!$B:$B,MATCH(A867,FX!$A:$A,1)),""))</f>
        <v/>
      </c>
      <c r="D867" s="14" t="str">
        <f aca="false">IF(A867="","",SUMIFS(Transactions!$D:$D,Transactions!$A:$A,"&lt;="&amp;A867,Transactions!$B:$B,Settings!$B$1))</f>
        <v/>
      </c>
      <c r="E867" s="14" t="str">
        <f aca="false">IF(A867="","",SUMIFS(Transactions!$C:$C,Transactions!$A:$A,"&lt;="&amp;A867,Transactions!$B:$B,Settings!$B$1)+SUMIFS(Transactions!$F:$F,Transactions!$A:$A,"&lt;="&amp;A867,Transactions!$B:$B,Settings!$B$1))</f>
        <v/>
      </c>
      <c r="F867" s="14" t="str">
        <f aca="false">IF(A867="","",IF(C867="","",D867*B867*C867))</f>
        <v/>
      </c>
      <c r="G867" s="14" t="str">
        <f aca="false">IF(F867="","",F867-E867)</f>
        <v/>
      </c>
      <c r="H867" s="14" t="str">
        <f aca="false">IF(F867="","",IFERROR(F867-F866-(E867-E866),0))</f>
        <v/>
      </c>
    </row>
    <row r="868" customFormat="false" ht="15" hidden="false" customHeight="false" outlineLevel="0" collapsed="false">
      <c r="A868" s="13" t="str">
        <f aca="false">IF(Prices!A868="","",Prices!A868)</f>
        <v/>
      </c>
      <c r="B868" s="14" t="str">
        <f aca="false">IF(A868="","",Prices!C868)</f>
        <v/>
      </c>
      <c r="C868" s="15" t="str">
        <f aca="false">IF(A868="","",IFERROR(INDEX(FX!$B:$B,MATCH(A868,FX!$A:$A,1)),""))</f>
        <v/>
      </c>
      <c r="D868" s="14" t="str">
        <f aca="false">IF(A868="","",SUMIFS(Transactions!$D:$D,Transactions!$A:$A,"&lt;="&amp;A868,Transactions!$B:$B,Settings!$B$1))</f>
        <v/>
      </c>
      <c r="E868" s="14" t="str">
        <f aca="false">IF(A868="","",SUMIFS(Transactions!$C:$C,Transactions!$A:$A,"&lt;="&amp;A868,Transactions!$B:$B,Settings!$B$1)+SUMIFS(Transactions!$F:$F,Transactions!$A:$A,"&lt;="&amp;A868,Transactions!$B:$B,Settings!$B$1))</f>
        <v/>
      </c>
      <c r="F868" s="14" t="str">
        <f aca="false">IF(A868="","",IF(C868="","",D868*B868*C868))</f>
        <v/>
      </c>
      <c r="G868" s="14" t="str">
        <f aca="false">IF(F868="","",F868-E868)</f>
        <v/>
      </c>
      <c r="H868" s="14" t="str">
        <f aca="false">IF(F868="","",IFERROR(F868-F867-(E868-E867),0))</f>
        <v/>
      </c>
    </row>
    <row r="869" customFormat="false" ht="15" hidden="false" customHeight="false" outlineLevel="0" collapsed="false">
      <c r="A869" s="13" t="str">
        <f aca="false">IF(Prices!A869="","",Prices!A869)</f>
        <v/>
      </c>
      <c r="B869" s="14" t="str">
        <f aca="false">IF(A869="","",Prices!C869)</f>
        <v/>
      </c>
      <c r="C869" s="15" t="str">
        <f aca="false">IF(A869="","",IFERROR(INDEX(FX!$B:$B,MATCH(A869,FX!$A:$A,1)),""))</f>
        <v/>
      </c>
      <c r="D869" s="14" t="str">
        <f aca="false">IF(A869="","",SUMIFS(Transactions!$D:$D,Transactions!$A:$A,"&lt;="&amp;A869,Transactions!$B:$B,Settings!$B$1))</f>
        <v/>
      </c>
      <c r="E869" s="14" t="str">
        <f aca="false">IF(A869="","",SUMIFS(Transactions!$C:$C,Transactions!$A:$A,"&lt;="&amp;A869,Transactions!$B:$B,Settings!$B$1)+SUMIFS(Transactions!$F:$F,Transactions!$A:$A,"&lt;="&amp;A869,Transactions!$B:$B,Settings!$B$1))</f>
        <v/>
      </c>
      <c r="F869" s="14" t="str">
        <f aca="false">IF(A869="","",IF(C869="","",D869*B869*C869))</f>
        <v/>
      </c>
      <c r="G869" s="14" t="str">
        <f aca="false">IF(F869="","",F869-E869)</f>
        <v/>
      </c>
      <c r="H869" s="14" t="str">
        <f aca="false">IF(F869="","",IFERROR(F869-F868-(E869-E868),0))</f>
        <v/>
      </c>
    </row>
    <row r="870" customFormat="false" ht="15" hidden="false" customHeight="false" outlineLevel="0" collapsed="false">
      <c r="A870" s="13" t="str">
        <f aca="false">IF(Prices!A870="","",Prices!A870)</f>
        <v/>
      </c>
      <c r="B870" s="14" t="str">
        <f aca="false">IF(A870="","",Prices!C870)</f>
        <v/>
      </c>
      <c r="C870" s="15" t="str">
        <f aca="false">IF(A870="","",IFERROR(INDEX(FX!$B:$B,MATCH(A870,FX!$A:$A,1)),""))</f>
        <v/>
      </c>
      <c r="D870" s="14" t="str">
        <f aca="false">IF(A870="","",SUMIFS(Transactions!$D:$D,Transactions!$A:$A,"&lt;="&amp;A870,Transactions!$B:$B,Settings!$B$1))</f>
        <v/>
      </c>
      <c r="E870" s="14" t="str">
        <f aca="false">IF(A870="","",SUMIFS(Transactions!$C:$C,Transactions!$A:$A,"&lt;="&amp;A870,Transactions!$B:$B,Settings!$B$1)+SUMIFS(Transactions!$F:$F,Transactions!$A:$A,"&lt;="&amp;A870,Transactions!$B:$B,Settings!$B$1))</f>
        <v/>
      </c>
      <c r="F870" s="14" t="str">
        <f aca="false">IF(A870="","",IF(C870="","",D870*B870*C870))</f>
        <v/>
      </c>
      <c r="G870" s="14" t="str">
        <f aca="false">IF(F870="","",F870-E870)</f>
        <v/>
      </c>
      <c r="H870" s="14" t="str">
        <f aca="false">IF(F870="","",IFERROR(F870-F869-(E870-E869),0))</f>
        <v/>
      </c>
    </row>
    <row r="871" customFormat="false" ht="15" hidden="false" customHeight="false" outlineLevel="0" collapsed="false">
      <c r="A871" s="13" t="str">
        <f aca="false">IF(Prices!A871="","",Prices!A871)</f>
        <v/>
      </c>
      <c r="B871" s="14" t="str">
        <f aca="false">IF(A871="","",Prices!C871)</f>
        <v/>
      </c>
      <c r="C871" s="15" t="str">
        <f aca="false">IF(A871="","",IFERROR(INDEX(FX!$B:$B,MATCH(A871,FX!$A:$A,1)),""))</f>
        <v/>
      </c>
      <c r="D871" s="14" t="str">
        <f aca="false">IF(A871="","",SUMIFS(Transactions!$D:$D,Transactions!$A:$A,"&lt;="&amp;A871,Transactions!$B:$B,Settings!$B$1))</f>
        <v/>
      </c>
      <c r="E871" s="14" t="str">
        <f aca="false">IF(A871="","",SUMIFS(Transactions!$C:$C,Transactions!$A:$A,"&lt;="&amp;A871,Transactions!$B:$B,Settings!$B$1)+SUMIFS(Transactions!$F:$F,Transactions!$A:$A,"&lt;="&amp;A871,Transactions!$B:$B,Settings!$B$1))</f>
        <v/>
      </c>
      <c r="F871" s="14" t="str">
        <f aca="false">IF(A871="","",IF(C871="","",D871*B871*C871))</f>
        <v/>
      </c>
      <c r="G871" s="14" t="str">
        <f aca="false">IF(F871="","",F871-E871)</f>
        <v/>
      </c>
      <c r="H871" s="14" t="str">
        <f aca="false">IF(F871="","",IFERROR(F871-F870-(E871-E870),0))</f>
        <v/>
      </c>
    </row>
    <row r="872" customFormat="false" ht="15" hidden="false" customHeight="false" outlineLevel="0" collapsed="false">
      <c r="A872" s="13" t="str">
        <f aca="false">IF(Prices!A872="","",Prices!A872)</f>
        <v/>
      </c>
      <c r="B872" s="14" t="str">
        <f aca="false">IF(A872="","",Prices!C872)</f>
        <v/>
      </c>
      <c r="C872" s="15" t="str">
        <f aca="false">IF(A872="","",IFERROR(INDEX(FX!$B:$B,MATCH(A872,FX!$A:$A,1)),""))</f>
        <v/>
      </c>
      <c r="D872" s="14" t="str">
        <f aca="false">IF(A872="","",SUMIFS(Transactions!$D:$D,Transactions!$A:$A,"&lt;="&amp;A872,Transactions!$B:$B,Settings!$B$1))</f>
        <v/>
      </c>
      <c r="E872" s="14" t="str">
        <f aca="false">IF(A872="","",SUMIFS(Transactions!$C:$C,Transactions!$A:$A,"&lt;="&amp;A872,Transactions!$B:$B,Settings!$B$1)+SUMIFS(Transactions!$F:$F,Transactions!$A:$A,"&lt;="&amp;A872,Transactions!$B:$B,Settings!$B$1))</f>
        <v/>
      </c>
      <c r="F872" s="14" t="str">
        <f aca="false">IF(A872="","",IF(C872="","",D872*B872*C872))</f>
        <v/>
      </c>
      <c r="G872" s="14" t="str">
        <f aca="false">IF(F872="","",F872-E872)</f>
        <v/>
      </c>
      <c r="H872" s="14" t="str">
        <f aca="false">IF(F872="","",IFERROR(F872-F871-(E872-E871),0))</f>
        <v/>
      </c>
    </row>
    <row r="873" customFormat="false" ht="15" hidden="false" customHeight="false" outlineLevel="0" collapsed="false">
      <c r="A873" s="13" t="str">
        <f aca="false">IF(Prices!A873="","",Prices!A873)</f>
        <v/>
      </c>
      <c r="B873" s="14" t="str">
        <f aca="false">IF(A873="","",Prices!C873)</f>
        <v/>
      </c>
      <c r="C873" s="15" t="str">
        <f aca="false">IF(A873="","",IFERROR(INDEX(FX!$B:$B,MATCH(A873,FX!$A:$A,1)),""))</f>
        <v/>
      </c>
      <c r="D873" s="14" t="str">
        <f aca="false">IF(A873="","",SUMIFS(Transactions!$D:$D,Transactions!$A:$A,"&lt;="&amp;A873,Transactions!$B:$B,Settings!$B$1))</f>
        <v/>
      </c>
      <c r="E873" s="14" t="str">
        <f aca="false">IF(A873="","",SUMIFS(Transactions!$C:$C,Transactions!$A:$A,"&lt;="&amp;A873,Transactions!$B:$B,Settings!$B$1)+SUMIFS(Transactions!$F:$F,Transactions!$A:$A,"&lt;="&amp;A873,Transactions!$B:$B,Settings!$B$1))</f>
        <v/>
      </c>
      <c r="F873" s="14" t="str">
        <f aca="false">IF(A873="","",IF(C873="","",D873*B873*C873))</f>
        <v/>
      </c>
      <c r="G873" s="14" t="str">
        <f aca="false">IF(F873="","",F873-E873)</f>
        <v/>
      </c>
      <c r="H873" s="14" t="str">
        <f aca="false">IF(F873="","",IFERROR(F873-F872-(E873-E872),0))</f>
        <v/>
      </c>
    </row>
    <row r="874" customFormat="false" ht="15" hidden="false" customHeight="false" outlineLevel="0" collapsed="false">
      <c r="A874" s="13" t="str">
        <f aca="false">IF(Prices!A874="","",Prices!A874)</f>
        <v/>
      </c>
      <c r="B874" s="14" t="str">
        <f aca="false">IF(A874="","",Prices!C874)</f>
        <v/>
      </c>
      <c r="C874" s="15" t="str">
        <f aca="false">IF(A874="","",IFERROR(INDEX(FX!$B:$B,MATCH(A874,FX!$A:$A,1)),""))</f>
        <v/>
      </c>
      <c r="D874" s="14" t="str">
        <f aca="false">IF(A874="","",SUMIFS(Transactions!$D:$D,Transactions!$A:$A,"&lt;="&amp;A874,Transactions!$B:$B,Settings!$B$1))</f>
        <v/>
      </c>
      <c r="E874" s="14" t="str">
        <f aca="false">IF(A874="","",SUMIFS(Transactions!$C:$C,Transactions!$A:$A,"&lt;="&amp;A874,Transactions!$B:$B,Settings!$B$1)+SUMIFS(Transactions!$F:$F,Transactions!$A:$A,"&lt;="&amp;A874,Transactions!$B:$B,Settings!$B$1))</f>
        <v/>
      </c>
      <c r="F874" s="14" t="str">
        <f aca="false">IF(A874="","",IF(C874="","",D874*B874*C874))</f>
        <v/>
      </c>
      <c r="G874" s="14" t="str">
        <f aca="false">IF(F874="","",F874-E874)</f>
        <v/>
      </c>
      <c r="H874" s="14" t="str">
        <f aca="false">IF(F874="","",IFERROR(F874-F873-(E874-E873),0))</f>
        <v/>
      </c>
    </row>
    <row r="875" customFormat="false" ht="15" hidden="false" customHeight="false" outlineLevel="0" collapsed="false">
      <c r="A875" s="13" t="str">
        <f aca="false">IF(Prices!A875="","",Prices!A875)</f>
        <v/>
      </c>
      <c r="B875" s="14" t="str">
        <f aca="false">IF(A875="","",Prices!C875)</f>
        <v/>
      </c>
      <c r="C875" s="15" t="str">
        <f aca="false">IF(A875="","",IFERROR(INDEX(FX!$B:$B,MATCH(A875,FX!$A:$A,1)),""))</f>
        <v/>
      </c>
      <c r="D875" s="14" t="str">
        <f aca="false">IF(A875="","",SUMIFS(Transactions!$D:$D,Transactions!$A:$A,"&lt;="&amp;A875,Transactions!$B:$B,Settings!$B$1))</f>
        <v/>
      </c>
      <c r="E875" s="14" t="str">
        <f aca="false">IF(A875="","",SUMIFS(Transactions!$C:$C,Transactions!$A:$A,"&lt;="&amp;A875,Transactions!$B:$B,Settings!$B$1)+SUMIFS(Transactions!$F:$F,Transactions!$A:$A,"&lt;="&amp;A875,Transactions!$B:$B,Settings!$B$1))</f>
        <v/>
      </c>
      <c r="F875" s="14" t="str">
        <f aca="false">IF(A875="","",IF(C875="","",D875*B875*C875))</f>
        <v/>
      </c>
      <c r="G875" s="14" t="str">
        <f aca="false">IF(F875="","",F875-E875)</f>
        <v/>
      </c>
      <c r="H875" s="14" t="str">
        <f aca="false">IF(F875="","",IFERROR(F875-F874-(E875-E874),0))</f>
        <v/>
      </c>
    </row>
    <row r="876" customFormat="false" ht="15" hidden="false" customHeight="false" outlineLevel="0" collapsed="false">
      <c r="A876" s="13" t="str">
        <f aca="false">IF(Prices!A876="","",Prices!A876)</f>
        <v/>
      </c>
      <c r="B876" s="14" t="str">
        <f aca="false">IF(A876="","",Prices!C876)</f>
        <v/>
      </c>
      <c r="C876" s="15" t="str">
        <f aca="false">IF(A876="","",IFERROR(INDEX(FX!$B:$B,MATCH(A876,FX!$A:$A,1)),""))</f>
        <v/>
      </c>
      <c r="D876" s="14" t="str">
        <f aca="false">IF(A876="","",SUMIFS(Transactions!$D:$D,Transactions!$A:$A,"&lt;="&amp;A876,Transactions!$B:$B,Settings!$B$1))</f>
        <v/>
      </c>
      <c r="E876" s="14" t="str">
        <f aca="false">IF(A876="","",SUMIFS(Transactions!$C:$C,Transactions!$A:$A,"&lt;="&amp;A876,Transactions!$B:$B,Settings!$B$1)+SUMIFS(Transactions!$F:$F,Transactions!$A:$A,"&lt;="&amp;A876,Transactions!$B:$B,Settings!$B$1))</f>
        <v/>
      </c>
      <c r="F876" s="14" t="str">
        <f aca="false">IF(A876="","",IF(C876="","",D876*B876*C876))</f>
        <v/>
      </c>
      <c r="G876" s="14" t="str">
        <f aca="false">IF(F876="","",F876-E876)</f>
        <v/>
      </c>
      <c r="H876" s="14" t="str">
        <f aca="false">IF(F876="","",IFERROR(F876-F875-(E876-E875),0))</f>
        <v/>
      </c>
    </row>
    <row r="877" customFormat="false" ht="15" hidden="false" customHeight="false" outlineLevel="0" collapsed="false">
      <c r="A877" s="13" t="str">
        <f aca="false">IF(Prices!A877="","",Prices!A877)</f>
        <v/>
      </c>
      <c r="B877" s="14" t="str">
        <f aca="false">IF(A877="","",Prices!C877)</f>
        <v/>
      </c>
      <c r="C877" s="15" t="str">
        <f aca="false">IF(A877="","",IFERROR(INDEX(FX!$B:$B,MATCH(A877,FX!$A:$A,1)),""))</f>
        <v/>
      </c>
      <c r="D877" s="14" t="str">
        <f aca="false">IF(A877="","",SUMIFS(Transactions!$D:$D,Transactions!$A:$A,"&lt;="&amp;A877,Transactions!$B:$B,Settings!$B$1))</f>
        <v/>
      </c>
      <c r="E877" s="14" t="str">
        <f aca="false">IF(A877="","",SUMIFS(Transactions!$C:$C,Transactions!$A:$A,"&lt;="&amp;A877,Transactions!$B:$B,Settings!$B$1)+SUMIFS(Transactions!$F:$F,Transactions!$A:$A,"&lt;="&amp;A877,Transactions!$B:$B,Settings!$B$1))</f>
        <v/>
      </c>
      <c r="F877" s="14" t="str">
        <f aca="false">IF(A877="","",IF(C877="","",D877*B877*C877))</f>
        <v/>
      </c>
      <c r="G877" s="14" t="str">
        <f aca="false">IF(F877="","",F877-E877)</f>
        <v/>
      </c>
      <c r="H877" s="14" t="str">
        <f aca="false">IF(F877="","",IFERROR(F877-F876-(E877-E876),0))</f>
        <v/>
      </c>
    </row>
    <row r="878" customFormat="false" ht="15" hidden="false" customHeight="false" outlineLevel="0" collapsed="false">
      <c r="A878" s="13" t="str">
        <f aca="false">IF(Prices!A878="","",Prices!A878)</f>
        <v/>
      </c>
      <c r="B878" s="14" t="str">
        <f aca="false">IF(A878="","",Prices!C878)</f>
        <v/>
      </c>
      <c r="C878" s="15" t="str">
        <f aca="false">IF(A878="","",IFERROR(INDEX(FX!$B:$B,MATCH(A878,FX!$A:$A,1)),""))</f>
        <v/>
      </c>
      <c r="D878" s="14" t="str">
        <f aca="false">IF(A878="","",SUMIFS(Transactions!$D:$D,Transactions!$A:$A,"&lt;="&amp;A878,Transactions!$B:$B,Settings!$B$1))</f>
        <v/>
      </c>
      <c r="E878" s="14" t="str">
        <f aca="false">IF(A878="","",SUMIFS(Transactions!$C:$C,Transactions!$A:$A,"&lt;="&amp;A878,Transactions!$B:$B,Settings!$B$1)+SUMIFS(Transactions!$F:$F,Transactions!$A:$A,"&lt;="&amp;A878,Transactions!$B:$B,Settings!$B$1))</f>
        <v/>
      </c>
      <c r="F878" s="14" t="str">
        <f aca="false">IF(A878="","",IF(C878="","",D878*B878*C878))</f>
        <v/>
      </c>
      <c r="G878" s="14" t="str">
        <f aca="false">IF(F878="","",F878-E878)</f>
        <v/>
      </c>
      <c r="H878" s="14" t="str">
        <f aca="false">IF(F878="","",IFERROR(F878-F877-(E878-E877),0))</f>
        <v/>
      </c>
    </row>
    <row r="879" customFormat="false" ht="15" hidden="false" customHeight="false" outlineLevel="0" collapsed="false">
      <c r="A879" s="13" t="str">
        <f aca="false">IF(Prices!A879="","",Prices!A879)</f>
        <v/>
      </c>
      <c r="B879" s="14" t="str">
        <f aca="false">IF(A879="","",Prices!C879)</f>
        <v/>
      </c>
      <c r="C879" s="15" t="str">
        <f aca="false">IF(A879="","",IFERROR(INDEX(FX!$B:$B,MATCH(A879,FX!$A:$A,1)),""))</f>
        <v/>
      </c>
      <c r="D879" s="14" t="str">
        <f aca="false">IF(A879="","",SUMIFS(Transactions!$D:$D,Transactions!$A:$A,"&lt;="&amp;A879,Transactions!$B:$B,Settings!$B$1))</f>
        <v/>
      </c>
      <c r="E879" s="14" t="str">
        <f aca="false">IF(A879="","",SUMIFS(Transactions!$C:$C,Transactions!$A:$A,"&lt;="&amp;A879,Transactions!$B:$B,Settings!$B$1)+SUMIFS(Transactions!$F:$F,Transactions!$A:$A,"&lt;="&amp;A879,Transactions!$B:$B,Settings!$B$1))</f>
        <v/>
      </c>
      <c r="F879" s="14" t="str">
        <f aca="false">IF(A879="","",IF(C879="","",D879*B879*C879))</f>
        <v/>
      </c>
      <c r="G879" s="14" t="str">
        <f aca="false">IF(F879="","",F879-E879)</f>
        <v/>
      </c>
      <c r="H879" s="14" t="str">
        <f aca="false">IF(F879="","",IFERROR(F879-F878-(E879-E878),0))</f>
        <v/>
      </c>
    </row>
    <row r="880" customFormat="false" ht="15" hidden="false" customHeight="false" outlineLevel="0" collapsed="false">
      <c r="A880" s="13" t="str">
        <f aca="false">IF(Prices!A880="","",Prices!A880)</f>
        <v/>
      </c>
      <c r="B880" s="14" t="str">
        <f aca="false">IF(A880="","",Prices!C880)</f>
        <v/>
      </c>
      <c r="C880" s="15" t="str">
        <f aca="false">IF(A880="","",IFERROR(INDEX(FX!$B:$B,MATCH(A880,FX!$A:$A,1)),""))</f>
        <v/>
      </c>
      <c r="D880" s="14" t="str">
        <f aca="false">IF(A880="","",SUMIFS(Transactions!$D:$D,Transactions!$A:$A,"&lt;="&amp;A880,Transactions!$B:$B,Settings!$B$1))</f>
        <v/>
      </c>
      <c r="E880" s="14" t="str">
        <f aca="false">IF(A880="","",SUMIFS(Transactions!$C:$C,Transactions!$A:$A,"&lt;="&amp;A880,Transactions!$B:$B,Settings!$B$1)+SUMIFS(Transactions!$F:$F,Transactions!$A:$A,"&lt;="&amp;A880,Transactions!$B:$B,Settings!$B$1))</f>
        <v/>
      </c>
      <c r="F880" s="14" t="str">
        <f aca="false">IF(A880="","",IF(C880="","",D880*B880*C880))</f>
        <v/>
      </c>
      <c r="G880" s="14" t="str">
        <f aca="false">IF(F880="","",F880-E880)</f>
        <v/>
      </c>
      <c r="H880" s="14" t="str">
        <f aca="false">IF(F880="","",IFERROR(F880-F879-(E880-E879),0))</f>
        <v/>
      </c>
    </row>
    <row r="881" customFormat="false" ht="15" hidden="false" customHeight="false" outlineLevel="0" collapsed="false">
      <c r="A881" s="13" t="str">
        <f aca="false">IF(Prices!A881="","",Prices!A881)</f>
        <v/>
      </c>
      <c r="B881" s="14" t="str">
        <f aca="false">IF(A881="","",Prices!C881)</f>
        <v/>
      </c>
      <c r="C881" s="15" t="str">
        <f aca="false">IF(A881="","",IFERROR(INDEX(FX!$B:$B,MATCH(A881,FX!$A:$A,1)),""))</f>
        <v/>
      </c>
      <c r="D881" s="14" t="str">
        <f aca="false">IF(A881="","",SUMIFS(Transactions!$D:$D,Transactions!$A:$A,"&lt;="&amp;A881,Transactions!$B:$B,Settings!$B$1))</f>
        <v/>
      </c>
      <c r="E881" s="14" t="str">
        <f aca="false">IF(A881="","",SUMIFS(Transactions!$C:$C,Transactions!$A:$A,"&lt;="&amp;A881,Transactions!$B:$B,Settings!$B$1)+SUMIFS(Transactions!$F:$F,Transactions!$A:$A,"&lt;="&amp;A881,Transactions!$B:$B,Settings!$B$1))</f>
        <v/>
      </c>
      <c r="F881" s="14" t="str">
        <f aca="false">IF(A881="","",IF(C881="","",D881*B881*C881))</f>
        <v/>
      </c>
      <c r="G881" s="14" t="str">
        <f aca="false">IF(F881="","",F881-E881)</f>
        <v/>
      </c>
      <c r="H881" s="14" t="str">
        <f aca="false">IF(F881="","",IFERROR(F881-F880-(E881-E880),0))</f>
        <v/>
      </c>
    </row>
    <row r="882" customFormat="false" ht="15" hidden="false" customHeight="false" outlineLevel="0" collapsed="false">
      <c r="A882" s="13" t="str">
        <f aca="false">IF(Prices!A882="","",Prices!A882)</f>
        <v/>
      </c>
      <c r="B882" s="14" t="str">
        <f aca="false">IF(A882="","",Prices!C882)</f>
        <v/>
      </c>
      <c r="C882" s="15" t="str">
        <f aca="false">IF(A882="","",IFERROR(INDEX(FX!$B:$B,MATCH(A882,FX!$A:$A,1)),""))</f>
        <v/>
      </c>
      <c r="D882" s="14" t="str">
        <f aca="false">IF(A882="","",SUMIFS(Transactions!$D:$D,Transactions!$A:$A,"&lt;="&amp;A882,Transactions!$B:$B,Settings!$B$1))</f>
        <v/>
      </c>
      <c r="E882" s="14" t="str">
        <f aca="false">IF(A882="","",SUMIFS(Transactions!$C:$C,Transactions!$A:$A,"&lt;="&amp;A882,Transactions!$B:$B,Settings!$B$1)+SUMIFS(Transactions!$F:$F,Transactions!$A:$A,"&lt;="&amp;A882,Transactions!$B:$B,Settings!$B$1))</f>
        <v/>
      </c>
      <c r="F882" s="14" t="str">
        <f aca="false">IF(A882="","",IF(C882="","",D882*B882*C882))</f>
        <v/>
      </c>
      <c r="G882" s="14" t="str">
        <f aca="false">IF(F882="","",F882-E882)</f>
        <v/>
      </c>
      <c r="H882" s="14" t="str">
        <f aca="false">IF(F882="","",IFERROR(F882-F881-(E882-E881),0))</f>
        <v/>
      </c>
    </row>
    <row r="883" customFormat="false" ht="15" hidden="false" customHeight="false" outlineLevel="0" collapsed="false">
      <c r="A883" s="13" t="str">
        <f aca="false">IF(Prices!A883="","",Prices!A883)</f>
        <v/>
      </c>
      <c r="B883" s="14" t="str">
        <f aca="false">IF(A883="","",Prices!C883)</f>
        <v/>
      </c>
      <c r="C883" s="15" t="str">
        <f aca="false">IF(A883="","",IFERROR(INDEX(FX!$B:$B,MATCH(A883,FX!$A:$A,1)),""))</f>
        <v/>
      </c>
      <c r="D883" s="14" t="str">
        <f aca="false">IF(A883="","",SUMIFS(Transactions!$D:$D,Transactions!$A:$A,"&lt;="&amp;A883,Transactions!$B:$B,Settings!$B$1))</f>
        <v/>
      </c>
      <c r="E883" s="14" t="str">
        <f aca="false">IF(A883="","",SUMIFS(Transactions!$C:$C,Transactions!$A:$A,"&lt;="&amp;A883,Transactions!$B:$B,Settings!$B$1)+SUMIFS(Transactions!$F:$F,Transactions!$A:$A,"&lt;="&amp;A883,Transactions!$B:$B,Settings!$B$1))</f>
        <v/>
      </c>
      <c r="F883" s="14" t="str">
        <f aca="false">IF(A883="","",IF(C883="","",D883*B883*C883))</f>
        <v/>
      </c>
      <c r="G883" s="14" t="str">
        <f aca="false">IF(F883="","",F883-E883)</f>
        <v/>
      </c>
      <c r="H883" s="14" t="str">
        <f aca="false">IF(F883="","",IFERROR(F883-F882-(E883-E882),0))</f>
        <v/>
      </c>
    </row>
    <row r="884" customFormat="false" ht="15" hidden="false" customHeight="false" outlineLevel="0" collapsed="false">
      <c r="A884" s="13" t="str">
        <f aca="false">IF(Prices!A884="","",Prices!A884)</f>
        <v/>
      </c>
      <c r="B884" s="14" t="str">
        <f aca="false">IF(A884="","",Prices!C884)</f>
        <v/>
      </c>
      <c r="C884" s="15" t="str">
        <f aca="false">IF(A884="","",IFERROR(INDEX(FX!$B:$B,MATCH(A884,FX!$A:$A,1)),""))</f>
        <v/>
      </c>
      <c r="D884" s="14" t="str">
        <f aca="false">IF(A884="","",SUMIFS(Transactions!$D:$D,Transactions!$A:$A,"&lt;="&amp;A884,Transactions!$B:$B,Settings!$B$1))</f>
        <v/>
      </c>
      <c r="E884" s="14" t="str">
        <f aca="false">IF(A884="","",SUMIFS(Transactions!$C:$C,Transactions!$A:$A,"&lt;="&amp;A884,Transactions!$B:$B,Settings!$B$1)+SUMIFS(Transactions!$F:$F,Transactions!$A:$A,"&lt;="&amp;A884,Transactions!$B:$B,Settings!$B$1))</f>
        <v/>
      </c>
      <c r="F884" s="14" t="str">
        <f aca="false">IF(A884="","",IF(C884="","",D884*B884*C884))</f>
        <v/>
      </c>
      <c r="G884" s="14" t="str">
        <f aca="false">IF(F884="","",F884-E884)</f>
        <v/>
      </c>
      <c r="H884" s="14" t="str">
        <f aca="false">IF(F884="","",IFERROR(F884-F883-(E884-E883),0))</f>
        <v/>
      </c>
    </row>
    <row r="885" customFormat="false" ht="15" hidden="false" customHeight="false" outlineLevel="0" collapsed="false">
      <c r="A885" s="13" t="str">
        <f aca="false">IF(Prices!A885="","",Prices!A885)</f>
        <v/>
      </c>
      <c r="B885" s="14" t="str">
        <f aca="false">IF(A885="","",Prices!C885)</f>
        <v/>
      </c>
      <c r="C885" s="15" t="str">
        <f aca="false">IF(A885="","",IFERROR(INDEX(FX!$B:$B,MATCH(A885,FX!$A:$A,1)),""))</f>
        <v/>
      </c>
      <c r="D885" s="14" t="str">
        <f aca="false">IF(A885="","",SUMIFS(Transactions!$D:$D,Transactions!$A:$A,"&lt;="&amp;A885,Transactions!$B:$B,Settings!$B$1))</f>
        <v/>
      </c>
      <c r="E885" s="14" t="str">
        <f aca="false">IF(A885="","",SUMIFS(Transactions!$C:$C,Transactions!$A:$A,"&lt;="&amp;A885,Transactions!$B:$B,Settings!$B$1)+SUMIFS(Transactions!$F:$F,Transactions!$A:$A,"&lt;="&amp;A885,Transactions!$B:$B,Settings!$B$1))</f>
        <v/>
      </c>
      <c r="F885" s="14" t="str">
        <f aca="false">IF(A885="","",IF(C885="","",D885*B885*C885))</f>
        <v/>
      </c>
      <c r="G885" s="14" t="str">
        <f aca="false">IF(F885="","",F885-E885)</f>
        <v/>
      </c>
      <c r="H885" s="14" t="str">
        <f aca="false">IF(F885="","",IFERROR(F885-F884-(E885-E884),0))</f>
        <v/>
      </c>
    </row>
    <row r="886" customFormat="false" ht="15" hidden="false" customHeight="false" outlineLevel="0" collapsed="false">
      <c r="A886" s="13" t="str">
        <f aca="false">IF(Prices!A886="","",Prices!A886)</f>
        <v/>
      </c>
      <c r="B886" s="14" t="str">
        <f aca="false">IF(A886="","",Prices!C886)</f>
        <v/>
      </c>
      <c r="C886" s="15" t="str">
        <f aca="false">IF(A886="","",IFERROR(INDEX(FX!$B:$B,MATCH(A886,FX!$A:$A,1)),""))</f>
        <v/>
      </c>
      <c r="D886" s="14" t="str">
        <f aca="false">IF(A886="","",SUMIFS(Transactions!$D:$D,Transactions!$A:$A,"&lt;="&amp;A886,Transactions!$B:$B,Settings!$B$1))</f>
        <v/>
      </c>
      <c r="E886" s="14" t="str">
        <f aca="false">IF(A886="","",SUMIFS(Transactions!$C:$C,Transactions!$A:$A,"&lt;="&amp;A886,Transactions!$B:$B,Settings!$B$1)+SUMIFS(Transactions!$F:$F,Transactions!$A:$A,"&lt;="&amp;A886,Transactions!$B:$B,Settings!$B$1))</f>
        <v/>
      </c>
      <c r="F886" s="14" t="str">
        <f aca="false">IF(A886="","",IF(C886="","",D886*B886*C886))</f>
        <v/>
      </c>
      <c r="G886" s="14" t="str">
        <f aca="false">IF(F886="","",F886-E886)</f>
        <v/>
      </c>
      <c r="H886" s="14" t="str">
        <f aca="false">IF(F886="","",IFERROR(F886-F885-(E886-E885),0))</f>
        <v/>
      </c>
    </row>
    <row r="887" customFormat="false" ht="15" hidden="false" customHeight="false" outlineLevel="0" collapsed="false">
      <c r="A887" s="13" t="str">
        <f aca="false">IF(Prices!A887="","",Prices!A887)</f>
        <v/>
      </c>
      <c r="B887" s="14" t="str">
        <f aca="false">IF(A887="","",Prices!C887)</f>
        <v/>
      </c>
      <c r="C887" s="15" t="str">
        <f aca="false">IF(A887="","",IFERROR(INDEX(FX!$B:$B,MATCH(A887,FX!$A:$A,1)),""))</f>
        <v/>
      </c>
      <c r="D887" s="14" t="str">
        <f aca="false">IF(A887="","",SUMIFS(Transactions!$D:$D,Transactions!$A:$A,"&lt;="&amp;A887,Transactions!$B:$B,Settings!$B$1))</f>
        <v/>
      </c>
      <c r="E887" s="14" t="str">
        <f aca="false">IF(A887="","",SUMIFS(Transactions!$C:$C,Transactions!$A:$A,"&lt;="&amp;A887,Transactions!$B:$B,Settings!$B$1)+SUMIFS(Transactions!$F:$F,Transactions!$A:$A,"&lt;="&amp;A887,Transactions!$B:$B,Settings!$B$1))</f>
        <v/>
      </c>
      <c r="F887" s="14" t="str">
        <f aca="false">IF(A887="","",IF(C887="","",D887*B887*C887))</f>
        <v/>
      </c>
      <c r="G887" s="14" t="str">
        <f aca="false">IF(F887="","",F887-E887)</f>
        <v/>
      </c>
      <c r="H887" s="14" t="str">
        <f aca="false">IF(F887="","",IFERROR(F887-F886-(E887-E886),0))</f>
        <v/>
      </c>
    </row>
    <row r="888" customFormat="false" ht="15" hidden="false" customHeight="false" outlineLevel="0" collapsed="false">
      <c r="A888" s="13" t="str">
        <f aca="false">IF(Prices!A888="","",Prices!A888)</f>
        <v/>
      </c>
      <c r="B888" s="14" t="str">
        <f aca="false">IF(A888="","",Prices!C888)</f>
        <v/>
      </c>
      <c r="C888" s="15" t="str">
        <f aca="false">IF(A888="","",IFERROR(INDEX(FX!$B:$B,MATCH(A888,FX!$A:$A,1)),""))</f>
        <v/>
      </c>
      <c r="D888" s="14" t="str">
        <f aca="false">IF(A888="","",SUMIFS(Transactions!$D:$D,Transactions!$A:$A,"&lt;="&amp;A888,Transactions!$B:$B,Settings!$B$1))</f>
        <v/>
      </c>
      <c r="E888" s="14" t="str">
        <f aca="false">IF(A888="","",SUMIFS(Transactions!$C:$C,Transactions!$A:$A,"&lt;="&amp;A888,Transactions!$B:$B,Settings!$B$1)+SUMIFS(Transactions!$F:$F,Transactions!$A:$A,"&lt;="&amp;A888,Transactions!$B:$B,Settings!$B$1))</f>
        <v/>
      </c>
      <c r="F888" s="14" t="str">
        <f aca="false">IF(A888="","",IF(C888="","",D888*B888*C888))</f>
        <v/>
      </c>
      <c r="G888" s="14" t="str">
        <f aca="false">IF(F888="","",F888-E888)</f>
        <v/>
      </c>
      <c r="H888" s="14" t="str">
        <f aca="false">IF(F888="","",IFERROR(F888-F887-(E888-E887),0))</f>
        <v/>
      </c>
    </row>
    <row r="889" customFormat="false" ht="15" hidden="false" customHeight="false" outlineLevel="0" collapsed="false">
      <c r="A889" s="13" t="str">
        <f aca="false">IF(Prices!A889="","",Prices!A889)</f>
        <v/>
      </c>
      <c r="B889" s="14" t="str">
        <f aca="false">IF(A889="","",Prices!C889)</f>
        <v/>
      </c>
      <c r="C889" s="15" t="str">
        <f aca="false">IF(A889="","",IFERROR(INDEX(FX!$B:$B,MATCH(A889,FX!$A:$A,1)),""))</f>
        <v/>
      </c>
      <c r="D889" s="14" t="str">
        <f aca="false">IF(A889="","",SUMIFS(Transactions!$D:$D,Transactions!$A:$A,"&lt;="&amp;A889,Transactions!$B:$B,Settings!$B$1))</f>
        <v/>
      </c>
      <c r="E889" s="14" t="str">
        <f aca="false">IF(A889="","",SUMIFS(Transactions!$C:$C,Transactions!$A:$A,"&lt;="&amp;A889,Transactions!$B:$B,Settings!$B$1)+SUMIFS(Transactions!$F:$F,Transactions!$A:$A,"&lt;="&amp;A889,Transactions!$B:$B,Settings!$B$1))</f>
        <v/>
      </c>
      <c r="F889" s="14" t="str">
        <f aca="false">IF(A889="","",IF(C889="","",D889*B889*C889))</f>
        <v/>
      </c>
      <c r="G889" s="14" t="str">
        <f aca="false">IF(F889="","",F889-E889)</f>
        <v/>
      </c>
      <c r="H889" s="14" t="str">
        <f aca="false">IF(F889="","",IFERROR(F889-F888-(E889-E888),0))</f>
        <v/>
      </c>
    </row>
    <row r="890" customFormat="false" ht="15" hidden="false" customHeight="false" outlineLevel="0" collapsed="false">
      <c r="A890" s="13" t="str">
        <f aca="false">IF(Prices!A890="","",Prices!A890)</f>
        <v/>
      </c>
      <c r="B890" s="14" t="str">
        <f aca="false">IF(A890="","",Prices!C890)</f>
        <v/>
      </c>
      <c r="C890" s="15" t="str">
        <f aca="false">IF(A890="","",IFERROR(INDEX(FX!$B:$B,MATCH(A890,FX!$A:$A,1)),""))</f>
        <v/>
      </c>
      <c r="D890" s="14" t="str">
        <f aca="false">IF(A890="","",SUMIFS(Transactions!$D:$D,Transactions!$A:$A,"&lt;="&amp;A890,Transactions!$B:$B,Settings!$B$1))</f>
        <v/>
      </c>
      <c r="E890" s="14" t="str">
        <f aca="false">IF(A890="","",SUMIFS(Transactions!$C:$C,Transactions!$A:$A,"&lt;="&amp;A890,Transactions!$B:$B,Settings!$B$1)+SUMIFS(Transactions!$F:$F,Transactions!$A:$A,"&lt;="&amp;A890,Transactions!$B:$B,Settings!$B$1))</f>
        <v/>
      </c>
      <c r="F890" s="14" t="str">
        <f aca="false">IF(A890="","",IF(C890="","",D890*B890*C890))</f>
        <v/>
      </c>
      <c r="G890" s="14" t="str">
        <f aca="false">IF(F890="","",F890-E890)</f>
        <v/>
      </c>
      <c r="H890" s="14" t="str">
        <f aca="false">IF(F890="","",IFERROR(F890-F889-(E890-E889),0))</f>
        <v/>
      </c>
    </row>
    <row r="891" customFormat="false" ht="15" hidden="false" customHeight="false" outlineLevel="0" collapsed="false">
      <c r="A891" s="13" t="str">
        <f aca="false">IF(Prices!A891="","",Prices!A891)</f>
        <v/>
      </c>
      <c r="B891" s="14" t="str">
        <f aca="false">IF(A891="","",Prices!C891)</f>
        <v/>
      </c>
      <c r="C891" s="15" t="str">
        <f aca="false">IF(A891="","",IFERROR(INDEX(FX!$B:$B,MATCH(A891,FX!$A:$A,1)),""))</f>
        <v/>
      </c>
      <c r="D891" s="14" t="str">
        <f aca="false">IF(A891="","",SUMIFS(Transactions!$D:$D,Transactions!$A:$A,"&lt;="&amp;A891,Transactions!$B:$B,Settings!$B$1))</f>
        <v/>
      </c>
      <c r="E891" s="14" t="str">
        <f aca="false">IF(A891="","",SUMIFS(Transactions!$C:$C,Transactions!$A:$A,"&lt;="&amp;A891,Transactions!$B:$B,Settings!$B$1)+SUMIFS(Transactions!$F:$F,Transactions!$A:$A,"&lt;="&amp;A891,Transactions!$B:$B,Settings!$B$1))</f>
        <v/>
      </c>
      <c r="F891" s="14" t="str">
        <f aca="false">IF(A891="","",IF(C891="","",D891*B891*C891))</f>
        <v/>
      </c>
      <c r="G891" s="14" t="str">
        <f aca="false">IF(F891="","",F891-E891)</f>
        <v/>
      </c>
      <c r="H891" s="14" t="str">
        <f aca="false">IF(F891="","",IFERROR(F891-F890-(E891-E890),0))</f>
        <v/>
      </c>
    </row>
    <row r="892" customFormat="false" ht="15" hidden="false" customHeight="false" outlineLevel="0" collapsed="false">
      <c r="A892" s="13" t="str">
        <f aca="false">IF(Prices!A892="","",Prices!A892)</f>
        <v/>
      </c>
      <c r="B892" s="14" t="str">
        <f aca="false">IF(A892="","",Prices!C892)</f>
        <v/>
      </c>
      <c r="C892" s="15" t="str">
        <f aca="false">IF(A892="","",IFERROR(INDEX(FX!$B:$B,MATCH(A892,FX!$A:$A,1)),""))</f>
        <v/>
      </c>
      <c r="D892" s="14" t="str">
        <f aca="false">IF(A892="","",SUMIFS(Transactions!$D:$D,Transactions!$A:$A,"&lt;="&amp;A892,Transactions!$B:$B,Settings!$B$1))</f>
        <v/>
      </c>
      <c r="E892" s="14" t="str">
        <f aca="false">IF(A892="","",SUMIFS(Transactions!$C:$C,Transactions!$A:$A,"&lt;="&amp;A892,Transactions!$B:$B,Settings!$B$1)+SUMIFS(Transactions!$F:$F,Transactions!$A:$A,"&lt;="&amp;A892,Transactions!$B:$B,Settings!$B$1))</f>
        <v/>
      </c>
      <c r="F892" s="14" t="str">
        <f aca="false">IF(A892="","",IF(C892="","",D892*B892*C892))</f>
        <v/>
      </c>
      <c r="G892" s="14" t="str">
        <f aca="false">IF(F892="","",F892-E892)</f>
        <v/>
      </c>
      <c r="H892" s="14" t="str">
        <f aca="false">IF(F892="","",IFERROR(F892-F891-(E892-E891),0))</f>
        <v/>
      </c>
    </row>
    <row r="893" customFormat="false" ht="15" hidden="false" customHeight="false" outlineLevel="0" collapsed="false">
      <c r="A893" s="13" t="str">
        <f aca="false">IF(Prices!A893="","",Prices!A893)</f>
        <v/>
      </c>
      <c r="B893" s="14" t="str">
        <f aca="false">IF(A893="","",Prices!C893)</f>
        <v/>
      </c>
      <c r="C893" s="15" t="str">
        <f aca="false">IF(A893="","",IFERROR(INDEX(FX!$B:$B,MATCH(A893,FX!$A:$A,1)),""))</f>
        <v/>
      </c>
      <c r="D893" s="14" t="str">
        <f aca="false">IF(A893="","",SUMIFS(Transactions!$D:$D,Transactions!$A:$A,"&lt;="&amp;A893,Transactions!$B:$B,Settings!$B$1))</f>
        <v/>
      </c>
      <c r="E893" s="14" t="str">
        <f aca="false">IF(A893="","",SUMIFS(Transactions!$C:$C,Transactions!$A:$A,"&lt;="&amp;A893,Transactions!$B:$B,Settings!$B$1)+SUMIFS(Transactions!$F:$F,Transactions!$A:$A,"&lt;="&amp;A893,Transactions!$B:$B,Settings!$B$1))</f>
        <v/>
      </c>
      <c r="F893" s="14" t="str">
        <f aca="false">IF(A893="","",IF(C893="","",D893*B893*C893))</f>
        <v/>
      </c>
      <c r="G893" s="14" t="str">
        <f aca="false">IF(F893="","",F893-E893)</f>
        <v/>
      </c>
      <c r="H893" s="14" t="str">
        <f aca="false">IF(F893="","",IFERROR(F893-F892-(E893-E892),0))</f>
        <v/>
      </c>
    </row>
    <row r="894" customFormat="false" ht="15" hidden="false" customHeight="false" outlineLevel="0" collapsed="false">
      <c r="A894" s="13" t="str">
        <f aca="false">IF(Prices!A894="","",Prices!A894)</f>
        <v/>
      </c>
      <c r="B894" s="14" t="str">
        <f aca="false">IF(A894="","",Prices!C894)</f>
        <v/>
      </c>
      <c r="C894" s="15" t="str">
        <f aca="false">IF(A894="","",IFERROR(INDEX(FX!$B:$B,MATCH(A894,FX!$A:$A,1)),""))</f>
        <v/>
      </c>
      <c r="D894" s="14" t="str">
        <f aca="false">IF(A894="","",SUMIFS(Transactions!$D:$D,Transactions!$A:$A,"&lt;="&amp;A894,Transactions!$B:$B,Settings!$B$1))</f>
        <v/>
      </c>
      <c r="E894" s="14" t="str">
        <f aca="false">IF(A894="","",SUMIFS(Transactions!$C:$C,Transactions!$A:$A,"&lt;="&amp;A894,Transactions!$B:$B,Settings!$B$1)+SUMIFS(Transactions!$F:$F,Transactions!$A:$A,"&lt;="&amp;A894,Transactions!$B:$B,Settings!$B$1))</f>
        <v/>
      </c>
      <c r="F894" s="14" t="str">
        <f aca="false">IF(A894="","",IF(C894="","",D894*B894*C894))</f>
        <v/>
      </c>
      <c r="G894" s="14" t="str">
        <f aca="false">IF(F894="","",F894-E894)</f>
        <v/>
      </c>
      <c r="H894" s="14" t="str">
        <f aca="false">IF(F894="","",IFERROR(F894-F893-(E894-E893),0))</f>
        <v/>
      </c>
    </row>
    <row r="895" customFormat="false" ht="15" hidden="false" customHeight="false" outlineLevel="0" collapsed="false">
      <c r="A895" s="13" t="str">
        <f aca="false">IF(Prices!A895="","",Prices!A895)</f>
        <v/>
      </c>
      <c r="B895" s="14" t="str">
        <f aca="false">IF(A895="","",Prices!C895)</f>
        <v/>
      </c>
      <c r="C895" s="15" t="str">
        <f aca="false">IF(A895="","",IFERROR(INDEX(FX!$B:$B,MATCH(A895,FX!$A:$A,1)),""))</f>
        <v/>
      </c>
      <c r="D895" s="14" t="str">
        <f aca="false">IF(A895="","",SUMIFS(Transactions!$D:$D,Transactions!$A:$A,"&lt;="&amp;A895,Transactions!$B:$B,Settings!$B$1))</f>
        <v/>
      </c>
      <c r="E895" s="14" t="str">
        <f aca="false">IF(A895="","",SUMIFS(Transactions!$C:$C,Transactions!$A:$A,"&lt;="&amp;A895,Transactions!$B:$B,Settings!$B$1)+SUMIFS(Transactions!$F:$F,Transactions!$A:$A,"&lt;="&amp;A895,Transactions!$B:$B,Settings!$B$1))</f>
        <v/>
      </c>
      <c r="F895" s="14" t="str">
        <f aca="false">IF(A895="","",IF(C895="","",D895*B895*C895))</f>
        <v/>
      </c>
      <c r="G895" s="14" t="str">
        <f aca="false">IF(F895="","",F895-E895)</f>
        <v/>
      </c>
      <c r="H895" s="14" t="str">
        <f aca="false">IF(F895="","",IFERROR(F895-F894-(E895-E894),0))</f>
        <v/>
      </c>
    </row>
    <row r="896" customFormat="false" ht="15" hidden="false" customHeight="false" outlineLevel="0" collapsed="false">
      <c r="A896" s="13" t="str">
        <f aca="false">IF(Prices!A896="","",Prices!A896)</f>
        <v/>
      </c>
      <c r="B896" s="14" t="str">
        <f aca="false">IF(A896="","",Prices!C896)</f>
        <v/>
      </c>
      <c r="C896" s="15" t="str">
        <f aca="false">IF(A896="","",IFERROR(INDEX(FX!$B:$B,MATCH(A896,FX!$A:$A,1)),""))</f>
        <v/>
      </c>
      <c r="D896" s="14" t="str">
        <f aca="false">IF(A896="","",SUMIFS(Transactions!$D:$D,Transactions!$A:$A,"&lt;="&amp;A896,Transactions!$B:$B,Settings!$B$1))</f>
        <v/>
      </c>
      <c r="E896" s="14" t="str">
        <f aca="false">IF(A896="","",SUMIFS(Transactions!$C:$C,Transactions!$A:$A,"&lt;="&amp;A896,Transactions!$B:$B,Settings!$B$1)+SUMIFS(Transactions!$F:$F,Transactions!$A:$A,"&lt;="&amp;A896,Transactions!$B:$B,Settings!$B$1))</f>
        <v/>
      </c>
      <c r="F896" s="14" t="str">
        <f aca="false">IF(A896="","",IF(C896="","",D896*B896*C896))</f>
        <v/>
      </c>
      <c r="G896" s="14" t="str">
        <f aca="false">IF(F896="","",F896-E896)</f>
        <v/>
      </c>
      <c r="H896" s="14" t="str">
        <f aca="false">IF(F896="","",IFERROR(F896-F895-(E896-E895),0))</f>
        <v/>
      </c>
    </row>
    <row r="897" customFormat="false" ht="15" hidden="false" customHeight="false" outlineLevel="0" collapsed="false">
      <c r="A897" s="13" t="str">
        <f aca="false">IF(Prices!A897="","",Prices!A897)</f>
        <v/>
      </c>
      <c r="B897" s="14" t="str">
        <f aca="false">IF(A897="","",Prices!C897)</f>
        <v/>
      </c>
      <c r="C897" s="15" t="str">
        <f aca="false">IF(A897="","",IFERROR(INDEX(FX!$B:$B,MATCH(A897,FX!$A:$A,1)),""))</f>
        <v/>
      </c>
      <c r="D897" s="14" t="str">
        <f aca="false">IF(A897="","",SUMIFS(Transactions!$D:$D,Transactions!$A:$A,"&lt;="&amp;A897,Transactions!$B:$B,Settings!$B$1))</f>
        <v/>
      </c>
      <c r="E897" s="14" t="str">
        <f aca="false">IF(A897="","",SUMIFS(Transactions!$C:$C,Transactions!$A:$A,"&lt;="&amp;A897,Transactions!$B:$B,Settings!$B$1)+SUMIFS(Transactions!$F:$F,Transactions!$A:$A,"&lt;="&amp;A897,Transactions!$B:$B,Settings!$B$1))</f>
        <v/>
      </c>
      <c r="F897" s="14" t="str">
        <f aca="false">IF(A897="","",IF(C897="","",D897*B897*C897))</f>
        <v/>
      </c>
      <c r="G897" s="14" t="str">
        <f aca="false">IF(F897="","",F897-E897)</f>
        <v/>
      </c>
      <c r="H897" s="14" t="str">
        <f aca="false">IF(F897="","",IFERROR(F897-F896-(E897-E896),0))</f>
        <v/>
      </c>
    </row>
    <row r="898" customFormat="false" ht="15" hidden="false" customHeight="false" outlineLevel="0" collapsed="false">
      <c r="A898" s="13" t="str">
        <f aca="false">IF(Prices!A898="","",Prices!A898)</f>
        <v/>
      </c>
      <c r="B898" s="14" t="str">
        <f aca="false">IF(A898="","",Prices!C898)</f>
        <v/>
      </c>
      <c r="C898" s="15" t="str">
        <f aca="false">IF(A898="","",IFERROR(INDEX(FX!$B:$B,MATCH(A898,FX!$A:$A,1)),""))</f>
        <v/>
      </c>
      <c r="D898" s="14" t="str">
        <f aca="false">IF(A898="","",SUMIFS(Transactions!$D:$D,Transactions!$A:$A,"&lt;="&amp;A898,Transactions!$B:$B,Settings!$B$1))</f>
        <v/>
      </c>
      <c r="E898" s="14" t="str">
        <f aca="false">IF(A898="","",SUMIFS(Transactions!$C:$C,Transactions!$A:$A,"&lt;="&amp;A898,Transactions!$B:$B,Settings!$B$1)+SUMIFS(Transactions!$F:$F,Transactions!$A:$A,"&lt;="&amp;A898,Transactions!$B:$B,Settings!$B$1))</f>
        <v/>
      </c>
      <c r="F898" s="14" t="str">
        <f aca="false">IF(A898="","",IF(C898="","",D898*B898*C898))</f>
        <v/>
      </c>
      <c r="G898" s="14" t="str">
        <f aca="false">IF(F898="","",F898-E898)</f>
        <v/>
      </c>
      <c r="H898" s="14" t="str">
        <f aca="false">IF(F898="","",IFERROR(F898-F897-(E898-E897),0))</f>
        <v/>
      </c>
    </row>
    <row r="899" customFormat="false" ht="15" hidden="false" customHeight="false" outlineLevel="0" collapsed="false">
      <c r="A899" s="13" t="str">
        <f aca="false">IF(Prices!A899="","",Prices!A899)</f>
        <v/>
      </c>
      <c r="B899" s="14" t="str">
        <f aca="false">IF(A899="","",Prices!C899)</f>
        <v/>
      </c>
      <c r="C899" s="15" t="str">
        <f aca="false">IF(A899="","",IFERROR(INDEX(FX!$B:$B,MATCH(A899,FX!$A:$A,1)),""))</f>
        <v/>
      </c>
      <c r="D899" s="14" t="str">
        <f aca="false">IF(A899="","",SUMIFS(Transactions!$D:$D,Transactions!$A:$A,"&lt;="&amp;A899,Transactions!$B:$B,Settings!$B$1))</f>
        <v/>
      </c>
      <c r="E899" s="14" t="str">
        <f aca="false">IF(A899="","",SUMIFS(Transactions!$C:$C,Transactions!$A:$A,"&lt;="&amp;A899,Transactions!$B:$B,Settings!$B$1)+SUMIFS(Transactions!$F:$F,Transactions!$A:$A,"&lt;="&amp;A899,Transactions!$B:$B,Settings!$B$1))</f>
        <v/>
      </c>
      <c r="F899" s="14" t="str">
        <f aca="false">IF(A899="","",IF(C899="","",D899*B899*C899))</f>
        <v/>
      </c>
      <c r="G899" s="14" t="str">
        <f aca="false">IF(F899="","",F899-E899)</f>
        <v/>
      </c>
      <c r="H899" s="14" t="str">
        <f aca="false">IF(F899="","",IFERROR(F899-F898-(E899-E898),0))</f>
        <v/>
      </c>
    </row>
    <row r="900" customFormat="false" ht="15" hidden="false" customHeight="false" outlineLevel="0" collapsed="false">
      <c r="A900" s="13" t="str">
        <f aca="false">IF(Prices!A900="","",Prices!A900)</f>
        <v/>
      </c>
      <c r="B900" s="14" t="str">
        <f aca="false">IF(A900="","",Prices!C900)</f>
        <v/>
      </c>
      <c r="C900" s="15" t="str">
        <f aca="false">IF(A900="","",IFERROR(INDEX(FX!$B:$B,MATCH(A900,FX!$A:$A,1)),""))</f>
        <v/>
      </c>
      <c r="D900" s="14" t="str">
        <f aca="false">IF(A900="","",SUMIFS(Transactions!$D:$D,Transactions!$A:$A,"&lt;="&amp;A900,Transactions!$B:$B,Settings!$B$1))</f>
        <v/>
      </c>
      <c r="E900" s="14" t="str">
        <f aca="false">IF(A900="","",SUMIFS(Transactions!$C:$C,Transactions!$A:$A,"&lt;="&amp;A900,Transactions!$B:$B,Settings!$B$1)+SUMIFS(Transactions!$F:$F,Transactions!$A:$A,"&lt;="&amp;A900,Transactions!$B:$B,Settings!$B$1))</f>
        <v/>
      </c>
      <c r="F900" s="14" t="str">
        <f aca="false">IF(A900="","",IF(C900="","",D900*B900*C900))</f>
        <v/>
      </c>
      <c r="G900" s="14" t="str">
        <f aca="false">IF(F900="","",F900-E900)</f>
        <v/>
      </c>
      <c r="H900" s="14" t="str">
        <f aca="false">IF(F900="","",IFERROR(F900-F899-(E900-E899),0))</f>
        <v/>
      </c>
    </row>
    <row r="901" customFormat="false" ht="15" hidden="false" customHeight="false" outlineLevel="0" collapsed="false">
      <c r="A901" s="13" t="str">
        <f aca="false">IF(Prices!A901="","",Prices!A901)</f>
        <v/>
      </c>
      <c r="B901" s="14" t="str">
        <f aca="false">IF(A901="","",Prices!C901)</f>
        <v/>
      </c>
      <c r="C901" s="15" t="str">
        <f aca="false">IF(A901="","",IFERROR(INDEX(FX!$B:$B,MATCH(A901,FX!$A:$A,1)),""))</f>
        <v/>
      </c>
      <c r="D901" s="14" t="str">
        <f aca="false">IF(A901="","",SUMIFS(Transactions!$D:$D,Transactions!$A:$A,"&lt;="&amp;A901,Transactions!$B:$B,Settings!$B$1))</f>
        <v/>
      </c>
      <c r="E901" s="14" t="str">
        <f aca="false">IF(A901="","",SUMIFS(Transactions!$C:$C,Transactions!$A:$A,"&lt;="&amp;A901,Transactions!$B:$B,Settings!$B$1)+SUMIFS(Transactions!$F:$F,Transactions!$A:$A,"&lt;="&amp;A901,Transactions!$B:$B,Settings!$B$1))</f>
        <v/>
      </c>
      <c r="F901" s="14" t="str">
        <f aca="false">IF(A901="","",IF(C901="","",D901*B901*C901))</f>
        <v/>
      </c>
      <c r="G901" s="14" t="str">
        <f aca="false">IF(F901="","",F901-E901)</f>
        <v/>
      </c>
      <c r="H901" s="14" t="str">
        <f aca="false">IF(F901="","",IFERROR(F901-F900-(E901-E900),0))</f>
        <v/>
      </c>
    </row>
    <row r="902" customFormat="false" ht="15" hidden="false" customHeight="false" outlineLevel="0" collapsed="false">
      <c r="A902" s="13" t="str">
        <f aca="false">IF(Prices!A902="","",Prices!A902)</f>
        <v/>
      </c>
      <c r="B902" s="14" t="str">
        <f aca="false">IF(A902="","",Prices!C902)</f>
        <v/>
      </c>
      <c r="C902" s="15" t="str">
        <f aca="false">IF(A902="","",IFERROR(INDEX(FX!$B:$B,MATCH(A902,FX!$A:$A,1)),""))</f>
        <v/>
      </c>
      <c r="D902" s="14" t="str">
        <f aca="false">IF(A902="","",SUMIFS(Transactions!$D:$D,Transactions!$A:$A,"&lt;="&amp;A902,Transactions!$B:$B,Settings!$B$1))</f>
        <v/>
      </c>
      <c r="E902" s="14" t="str">
        <f aca="false">IF(A902="","",SUMIFS(Transactions!$C:$C,Transactions!$A:$A,"&lt;="&amp;A902,Transactions!$B:$B,Settings!$B$1)+SUMIFS(Transactions!$F:$F,Transactions!$A:$A,"&lt;="&amp;A902,Transactions!$B:$B,Settings!$B$1))</f>
        <v/>
      </c>
      <c r="F902" s="14" t="str">
        <f aca="false">IF(A902="","",IF(C902="","",D902*B902*C902))</f>
        <v/>
      </c>
      <c r="G902" s="14" t="str">
        <f aca="false">IF(F902="","",F902-E902)</f>
        <v/>
      </c>
      <c r="H902" s="14" t="str">
        <f aca="false">IF(F902="","",IFERROR(F902-F901-(E902-E901),0))</f>
        <v/>
      </c>
    </row>
    <row r="903" customFormat="false" ht="15" hidden="false" customHeight="false" outlineLevel="0" collapsed="false">
      <c r="A903" s="13" t="str">
        <f aca="false">IF(Prices!A903="","",Prices!A903)</f>
        <v/>
      </c>
      <c r="B903" s="14" t="str">
        <f aca="false">IF(A903="","",Prices!C903)</f>
        <v/>
      </c>
      <c r="C903" s="15" t="str">
        <f aca="false">IF(A903="","",IFERROR(INDEX(FX!$B:$B,MATCH(A903,FX!$A:$A,1)),""))</f>
        <v/>
      </c>
      <c r="D903" s="14" t="str">
        <f aca="false">IF(A903="","",SUMIFS(Transactions!$D:$D,Transactions!$A:$A,"&lt;="&amp;A903,Transactions!$B:$B,Settings!$B$1))</f>
        <v/>
      </c>
      <c r="E903" s="14" t="str">
        <f aca="false">IF(A903="","",SUMIFS(Transactions!$C:$C,Transactions!$A:$A,"&lt;="&amp;A903,Transactions!$B:$B,Settings!$B$1)+SUMIFS(Transactions!$F:$F,Transactions!$A:$A,"&lt;="&amp;A903,Transactions!$B:$B,Settings!$B$1))</f>
        <v/>
      </c>
      <c r="F903" s="14" t="str">
        <f aca="false">IF(A903="","",IF(C903="","",D903*B903*C903))</f>
        <v/>
      </c>
      <c r="G903" s="14" t="str">
        <f aca="false">IF(F903="","",F903-E903)</f>
        <v/>
      </c>
      <c r="H903" s="14" t="str">
        <f aca="false">IF(F903="","",IFERROR(F903-F902-(E903-E902),0))</f>
        <v/>
      </c>
    </row>
    <row r="904" customFormat="false" ht="15" hidden="false" customHeight="false" outlineLevel="0" collapsed="false">
      <c r="A904" s="13" t="str">
        <f aca="false">IF(Prices!A904="","",Prices!A904)</f>
        <v/>
      </c>
      <c r="B904" s="14" t="str">
        <f aca="false">IF(A904="","",Prices!C904)</f>
        <v/>
      </c>
      <c r="C904" s="15" t="str">
        <f aca="false">IF(A904="","",IFERROR(INDEX(FX!$B:$B,MATCH(A904,FX!$A:$A,1)),""))</f>
        <v/>
      </c>
      <c r="D904" s="14" t="str">
        <f aca="false">IF(A904="","",SUMIFS(Transactions!$D:$D,Transactions!$A:$A,"&lt;="&amp;A904,Transactions!$B:$B,Settings!$B$1))</f>
        <v/>
      </c>
      <c r="E904" s="14" t="str">
        <f aca="false">IF(A904="","",SUMIFS(Transactions!$C:$C,Transactions!$A:$A,"&lt;="&amp;A904,Transactions!$B:$B,Settings!$B$1)+SUMIFS(Transactions!$F:$F,Transactions!$A:$A,"&lt;="&amp;A904,Transactions!$B:$B,Settings!$B$1))</f>
        <v/>
      </c>
      <c r="F904" s="14" t="str">
        <f aca="false">IF(A904="","",IF(C904="","",D904*B904*C904))</f>
        <v/>
      </c>
      <c r="G904" s="14" t="str">
        <f aca="false">IF(F904="","",F904-E904)</f>
        <v/>
      </c>
      <c r="H904" s="14" t="str">
        <f aca="false">IF(F904="","",IFERROR(F904-F903-(E904-E903),0))</f>
        <v/>
      </c>
    </row>
    <row r="905" customFormat="false" ht="15" hidden="false" customHeight="false" outlineLevel="0" collapsed="false">
      <c r="A905" s="13" t="str">
        <f aca="false">IF(Prices!A905="","",Prices!A905)</f>
        <v/>
      </c>
      <c r="B905" s="14" t="str">
        <f aca="false">IF(A905="","",Prices!C905)</f>
        <v/>
      </c>
      <c r="C905" s="15" t="str">
        <f aca="false">IF(A905="","",IFERROR(INDEX(FX!$B:$B,MATCH(A905,FX!$A:$A,1)),""))</f>
        <v/>
      </c>
      <c r="D905" s="14" t="str">
        <f aca="false">IF(A905="","",SUMIFS(Transactions!$D:$D,Transactions!$A:$A,"&lt;="&amp;A905,Transactions!$B:$B,Settings!$B$1))</f>
        <v/>
      </c>
      <c r="E905" s="14" t="str">
        <f aca="false">IF(A905="","",SUMIFS(Transactions!$C:$C,Transactions!$A:$A,"&lt;="&amp;A905,Transactions!$B:$B,Settings!$B$1)+SUMIFS(Transactions!$F:$F,Transactions!$A:$A,"&lt;="&amp;A905,Transactions!$B:$B,Settings!$B$1))</f>
        <v/>
      </c>
      <c r="F905" s="14" t="str">
        <f aca="false">IF(A905="","",IF(C905="","",D905*B905*C905))</f>
        <v/>
      </c>
      <c r="G905" s="14" t="str">
        <f aca="false">IF(F905="","",F905-E905)</f>
        <v/>
      </c>
      <c r="H905" s="14" t="str">
        <f aca="false">IF(F905="","",IFERROR(F905-F904-(E905-E904),0))</f>
        <v/>
      </c>
    </row>
    <row r="906" customFormat="false" ht="15" hidden="false" customHeight="false" outlineLevel="0" collapsed="false">
      <c r="A906" s="13" t="str">
        <f aca="false">IF(Prices!A906="","",Prices!A906)</f>
        <v/>
      </c>
      <c r="B906" s="14" t="str">
        <f aca="false">IF(A906="","",Prices!C906)</f>
        <v/>
      </c>
      <c r="C906" s="15" t="str">
        <f aca="false">IF(A906="","",IFERROR(INDEX(FX!$B:$B,MATCH(A906,FX!$A:$A,1)),""))</f>
        <v/>
      </c>
      <c r="D906" s="14" t="str">
        <f aca="false">IF(A906="","",SUMIFS(Transactions!$D:$D,Transactions!$A:$A,"&lt;="&amp;A906,Transactions!$B:$B,Settings!$B$1))</f>
        <v/>
      </c>
      <c r="E906" s="14" t="str">
        <f aca="false">IF(A906="","",SUMIFS(Transactions!$C:$C,Transactions!$A:$A,"&lt;="&amp;A906,Transactions!$B:$B,Settings!$B$1)+SUMIFS(Transactions!$F:$F,Transactions!$A:$A,"&lt;="&amp;A906,Transactions!$B:$B,Settings!$B$1))</f>
        <v/>
      </c>
      <c r="F906" s="14" t="str">
        <f aca="false">IF(A906="","",IF(C906="","",D906*B906*C906))</f>
        <v/>
      </c>
      <c r="G906" s="14" t="str">
        <f aca="false">IF(F906="","",F906-E906)</f>
        <v/>
      </c>
      <c r="H906" s="14" t="str">
        <f aca="false">IF(F906="","",IFERROR(F906-F905-(E906-E905),0))</f>
        <v/>
      </c>
    </row>
    <row r="907" customFormat="false" ht="15" hidden="false" customHeight="false" outlineLevel="0" collapsed="false">
      <c r="A907" s="13" t="str">
        <f aca="false">IF(Prices!A907="","",Prices!A907)</f>
        <v/>
      </c>
      <c r="B907" s="14" t="str">
        <f aca="false">IF(A907="","",Prices!C907)</f>
        <v/>
      </c>
      <c r="C907" s="15" t="str">
        <f aca="false">IF(A907="","",IFERROR(INDEX(FX!$B:$B,MATCH(A907,FX!$A:$A,1)),""))</f>
        <v/>
      </c>
      <c r="D907" s="14" t="str">
        <f aca="false">IF(A907="","",SUMIFS(Transactions!$D:$D,Transactions!$A:$A,"&lt;="&amp;A907,Transactions!$B:$B,Settings!$B$1))</f>
        <v/>
      </c>
      <c r="E907" s="14" t="str">
        <f aca="false">IF(A907="","",SUMIFS(Transactions!$C:$C,Transactions!$A:$A,"&lt;="&amp;A907,Transactions!$B:$B,Settings!$B$1)+SUMIFS(Transactions!$F:$F,Transactions!$A:$A,"&lt;="&amp;A907,Transactions!$B:$B,Settings!$B$1))</f>
        <v/>
      </c>
      <c r="F907" s="14" t="str">
        <f aca="false">IF(A907="","",IF(C907="","",D907*B907*C907))</f>
        <v/>
      </c>
      <c r="G907" s="14" t="str">
        <f aca="false">IF(F907="","",F907-E907)</f>
        <v/>
      </c>
      <c r="H907" s="14" t="str">
        <f aca="false">IF(F907="","",IFERROR(F907-F906-(E907-E906),0))</f>
        <v/>
      </c>
    </row>
    <row r="908" customFormat="false" ht="15" hidden="false" customHeight="false" outlineLevel="0" collapsed="false">
      <c r="A908" s="13" t="str">
        <f aca="false">IF(Prices!A908="","",Prices!A908)</f>
        <v/>
      </c>
      <c r="B908" s="14" t="str">
        <f aca="false">IF(A908="","",Prices!C908)</f>
        <v/>
      </c>
      <c r="C908" s="15" t="str">
        <f aca="false">IF(A908="","",IFERROR(INDEX(FX!$B:$B,MATCH(A908,FX!$A:$A,1)),""))</f>
        <v/>
      </c>
      <c r="D908" s="14" t="str">
        <f aca="false">IF(A908="","",SUMIFS(Transactions!$D:$D,Transactions!$A:$A,"&lt;="&amp;A908,Transactions!$B:$B,Settings!$B$1))</f>
        <v/>
      </c>
      <c r="E908" s="14" t="str">
        <f aca="false">IF(A908="","",SUMIFS(Transactions!$C:$C,Transactions!$A:$A,"&lt;="&amp;A908,Transactions!$B:$B,Settings!$B$1)+SUMIFS(Transactions!$F:$F,Transactions!$A:$A,"&lt;="&amp;A908,Transactions!$B:$B,Settings!$B$1))</f>
        <v/>
      </c>
      <c r="F908" s="14" t="str">
        <f aca="false">IF(A908="","",IF(C908="","",D908*B908*C908))</f>
        <v/>
      </c>
      <c r="G908" s="14" t="str">
        <f aca="false">IF(F908="","",F908-E908)</f>
        <v/>
      </c>
      <c r="H908" s="14" t="str">
        <f aca="false">IF(F908="","",IFERROR(F908-F907-(E908-E907),0))</f>
        <v/>
      </c>
    </row>
    <row r="909" customFormat="false" ht="15" hidden="false" customHeight="false" outlineLevel="0" collapsed="false">
      <c r="A909" s="13" t="str">
        <f aca="false">IF(Prices!A909="","",Prices!A909)</f>
        <v/>
      </c>
      <c r="B909" s="14" t="str">
        <f aca="false">IF(A909="","",Prices!C909)</f>
        <v/>
      </c>
      <c r="C909" s="15" t="str">
        <f aca="false">IF(A909="","",IFERROR(INDEX(FX!$B:$B,MATCH(A909,FX!$A:$A,1)),""))</f>
        <v/>
      </c>
      <c r="D909" s="14" t="str">
        <f aca="false">IF(A909="","",SUMIFS(Transactions!$D:$D,Transactions!$A:$A,"&lt;="&amp;A909,Transactions!$B:$B,Settings!$B$1))</f>
        <v/>
      </c>
      <c r="E909" s="14" t="str">
        <f aca="false">IF(A909="","",SUMIFS(Transactions!$C:$C,Transactions!$A:$A,"&lt;="&amp;A909,Transactions!$B:$B,Settings!$B$1)+SUMIFS(Transactions!$F:$F,Transactions!$A:$A,"&lt;="&amp;A909,Transactions!$B:$B,Settings!$B$1))</f>
        <v/>
      </c>
      <c r="F909" s="14" t="str">
        <f aca="false">IF(A909="","",IF(C909="","",D909*B909*C909))</f>
        <v/>
      </c>
      <c r="G909" s="14" t="str">
        <f aca="false">IF(F909="","",F909-E909)</f>
        <v/>
      </c>
      <c r="H909" s="14" t="str">
        <f aca="false">IF(F909="","",IFERROR(F909-F908-(E909-E908),0))</f>
        <v/>
      </c>
    </row>
    <row r="910" customFormat="false" ht="15" hidden="false" customHeight="false" outlineLevel="0" collapsed="false">
      <c r="A910" s="13" t="str">
        <f aca="false">IF(Prices!A910="","",Prices!A910)</f>
        <v/>
      </c>
      <c r="B910" s="14" t="str">
        <f aca="false">IF(A910="","",Prices!C910)</f>
        <v/>
      </c>
      <c r="C910" s="15" t="str">
        <f aca="false">IF(A910="","",IFERROR(INDEX(FX!$B:$B,MATCH(A910,FX!$A:$A,1)),""))</f>
        <v/>
      </c>
      <c r="D910" s="14" t="str">
        <f aca="false">IF(A910="","",SUMIFS(Transactions!$D:$D,Transactions!$A:$A,"&lt;="&amp;A910,Transactions!$B:$B,Settings!$B$1))</f>
        <v/>
      </c>
      <c r="E910" s="14" t="str">
        <f aca="false">IF(A910="","",SUMIFS(Transactions!$C:$C,Transactions!$A:$A,"&lt;="&amp;A910,Transactions!$B:$B,Settings!$B$1)+SUMIFS(Transactions!$F:$F,Transactions!$A:$A,"&lt;="&amp;A910,Transactions!$B:$B,Settings!$B$1))</f>
        <v/>
      </c>
      <c r="F910" s="14" t="str">
        <f aca="false">IF(A910="","",IF(C910="","",D910*B910*C910))</f>
        <v/>
      </c>
      <c r="G910" s="14" t="str">
        <f aca="false">IF(F910="","",F910-E910)</f>
        <v/>
      </c>
      <c r="H910" s="14" t="str">
        <f aca="false">IF(F910="","",IFERROR(F910-F909-(E910-E909),0))</f>
        <v/>
      </c>
    </row>
    <row r="911" customFormat="false" ht="15" hidden="false" customHeight="false" outlineLevel="0" collapsed="false">
      <c r="A911" s="13" t="str">
        <f aca="false">IF(Prices!A911="","",Prices!A911)</f>
        <v/>
      </c>
      <c r="B911" s="14" t="str">
        <f aca="false">IF(A911="","",Prices!C911)</f>
        <v/>
      </c>
      <c r="C911" s="15" t="str">
        <f aca="false">IF(A911="","",IFERROR(INDEX(FX!$B:$B,MATCH(A911,FX!$A:$A,1)),""))</f>
        <v/>
      </c>
      <c r="D911" s="14" t="str">
        <f aca="false">IF(A911="","",SUMIFS(Transactions!$D:$D,Transactions!$A:$A,"&lt;="&amp;A911,Transactions!$B:$B,Settings!$B$1))</f>
        <v/>
      </c>
      <c r="E911" s="14" t="str">
        <f aca="false">IF(A911="","",SUMIFS(Transactions!$C:$C,Transactions!$A:$A,"&lt;="&amp;A911,Transactions!$B:$B,Settings!$B$1)+SUMIFS(Transactions!$F:$F,Transactions!$A:$A,"&lt;="&amp;A911,Transactions!$B:$B,Settings!$B$1))</f>
        <v/>
      </c>
      <c r="F911" s="14" t="str">
        <f aca="false">IF(A911="","",IF(C911="","",D911*B911*C911))</f>
        <v/>
      </c>
      <c r="G911" s="14" t="str">
        <f aca="false">IF(F911="","",F911-E911)</f>
        <v/>
      </c>
      <c r="H911" s="14" t="str">
        <f aca="false">IF(F911="","",IFERROR(F911-F910-(E911-E910),0))</f>
        <v/>
      </c>
    </row>
    <row r="912" customFormat="false" ht="15" hidden="false" customHeight="false" outlineLevel="0" collapsed="false">
      <c r="A912" s="13" t="str">
        <f aca="false">IF(Prices!A912="","",Prices!A912)</f>
        <v/>
      </c>
      <c r="B912" s="14" t="str">
        <f aca="false">IF(A912="","",Prices!C912)</f>
        <v/>
      </c>
      <c r="C912" s="15" t="str">
        <f aca="false">IF(A912="","",IFERROR(INDEX(FX!$B:$B,MATCH(A912,FX!$A:$A,1)),""))</f>
        <v/>
      </c>
      <c r="D912" s="14" t="str">
        <f aca="false">IF(A912="","",SUMIFS(Transactions!$D:$D,Transactions!$A:$A,"&lt;="&amp;A912,Transactions!$B:$B,Settings!$B$1))</f>
        <v/>
      </c>
      <c r="E912" s="14" t="str">
        <f aca="false">IF(A912="","",SUMIFS(Transactions!$C:$C,Transactions!$A:$A,"&lt;="&amp;A912,Transactions!$B:$B,Settings!$B$1)+SUMIFS(Transactions!$F:$F,Transactions!$A:$A,"&lt;="&amp;A912,Transactions!$B:$B,Settings!$B$1))</f>
        <v/>
      </c>
      <c r="F912" s="14" t="str">
        <f aca="false">IF(A912="","",IF(C912="","",D912*B912*C912))</f>
        <v/>
      </c>
      <c r="G912" s="14" t="str">
        <f aca="false">IF(F912="","",F912-E912)</f>
        <v/>
      </c>
      <c r="H912" s="14" t="str">
        <f aca="false">IF(F912="","",IFERROR(F912-F911-(E912-E911),0))</f>
        <v/>
      </c>
    </row>
    <row r="913" customFormat="false" ht="15" hidden="false" customHeight="false" outlineLevel="0" collapsed="false">
      <c r="A913" s="13" t="str">
        <f aca="false">IF(Prices!A913="","",Prices!A913)</f>
        <v/>
      </c>
      <c r="B913" s="14" t="str">
        <f aca="false">IF(A913="","",Prices!C913)</f>
        <v/>
      </c>
      <c r="C913" s="15" t="str">
        <f aca="false">IF(A913="","",IFERROR(INDEX(FX!$B:$B,MATCH(A913,FX!$A:$A,1)),""))</f>
        <v/>
      </c>
      <c r="D913" s="14" t="str">
        <f aca="false">IF(A913="","",SUMIFS(Transactions!$D:$D,Transactions!$A:$A,"&lt;="&amp;A913,Transactions!$B:$B,Settings!$B$1))</f>
        <v/>
      </c>
      <c r="E913" s="14" t="str">
        <f aca="false">IF(A913="","",SUMIFS(Transactions!$C:$C,Transactions!$A:$A,"&lt;="&amp;A913,Transactions!$B:$B,Settings!$B$1)+SUMIFS(Transactions!$F:$F,Transactions!$A:$A,"&lt;="&amp;A913,Transactions!$B:$B,Settings!$B$1))</f>
        <v/>
      </c>
      <c r="F913" s="14" t="str">
        <f aca="false">IF(A913="","",IF(C913="","",D913*B913*C913))</f>
        <v/>
      </c>
      <c r="G913" s="14" t="str">
        <f aca="false">IF(F913="","",F913-E913)</f>
        <v/>
      </c>
      <c r="H913" s="14" t="str">
        <f aca="false">IF(F913="","",IFERROR(F913-F912-(E913-E912),0))</f>
        <v/>
      </c>
    </row>
    <row r="914" customFormat="false" ht="15" hidden="false" customHeight="false" outlineLevel="0" collapsed="false">
      <c r="A914" s="13" t="str">
        <f aca="false">IF(Prices!A914="","",Prices!A914)</f>
        <v/>
      </c>
      <c r="B914" s="14" t="str">
        <f aca="false">IF(A914="","",Prices!C914)</f>
        <v/>
      </c>
      <c r="C914" s="15" t="str">
        <f aca="false">IF(A914="","",IFERROR(INDEX(FX!$B:$B,MATCH(A914,FX!$A:$A,1)),""))</f>
        <v/>
      </c>
      <c r="D914" s="14" t="str">
        <f aca="false">IF(A914="","",SUMIFS(Transactions!$D:$D,Transactions!$A:$A,"&lt;="&amp;A914,Transactions!$B:$B,Settings!$B$1))</f>
        <v/>
      </c>
      <c r="E914" s="14" t="str">
        <f aca="false">IF(A914="","",SUMIFS(Transactions!$C:$C,Transactions!$A:$A,"&lt;="&amp;A914,Transactions!$B:$B,Settings!$B$1)+SUMIFS(Transactions!$F:$F,Transactions!$A:$A,"&lt;="&amp;A914,Transactions!$B:$B,Settings!$B$1))</f>
        <v/>
      </c>
      <c r="F914" s="14" t="str">
        <f aca="false">IF(A914="","",IF(C914="","",D914*B914*C914))</f>
        <v/>
      </c>
      <c r="G914" s="14" t="str">
        <f aca="false">IF(F914="","",F914-E914)</f>
        <v/>
      </c>
      <c r="H914" s="14" t="str">
        <f aca="false">IF(F914="","",IFERROR(F914-F913-(E914-E913),0))</f>
        <v/>
      </c>
    </row>
    <row r="915" customFormat="false" ht="15" hidden="false" customHeight="false" outlineLevel="0" collapsed="false">
      <c r="A915" s="13" t="str">
        <f aca="false">IF(Prices!A915="","",Prices!A915)</f>
        <v/>
      </c>
      <c r="B915" s="14" t="str">
        <f aca="false">IF(A915="","",Prices!C915)</f>
        <v/>
      </c>
      <c r="C915" s="15" t="str">
        <f aca="false">IF(A915="","",IFERROR(INDEX(FX!$B:$B,MATCH(A915,FX!$A:$A,1)),""))</f>
        <v/>
      </c>
      <c r="D915" s="14" t="str">
        <f aca="false">IF(A915="","",SUMIFS(Transactions!$D:$D,Transactions!$A:$A,"&lt;="&amp;A915,Transactions!$B:$B,Settings!$B$1))</f>
        <v/>
      </c>
      <c r="E915" s="14" t="str">
        <f aca="false">IF(A915="","",SUMIFS(Transactions!$C:$C,Transactions!$A:$A,"&lt;="&amp;A915,Transactions!$B:$B,Settings!$B$1)+SUMIFS(Transactions!$F:$F,Transactions!$A:$A,"&lt;="&amp;A915,Transactions!$B:$B,Settings!$B$1))</f>
        <v/>
      </c>
      <c r="F915" s="14" t="str">
        <f aca="false">IF(A915="","",IF(C915="","",D915*B915*C915))</f>
        <v/>
      </c>
      <c r="G915" s="14" t="str">
        <f aca="false">IF(F915="","",F915-E915)</f>
        <v/>
      </c>
      <c r="H915" s="14" t="str">
        <f aca="false">IF(F915="","",IFERROR(F915-F914-(E915-E914),0))</f>
        <v/>
      </c>
    </row>
    <row r="916" customFormat="false" ht="15" hidden="false" customHeight="false" outlineLevel="0" collapsed="false">
      <c r="A916" s="13" t="str">
        <f aca="false">IF(Prices!A916="","",Prices!A916)</f>
        <v/>
      </c>
      <c r="B916" s="14" t="str">
        <f aca="false">IF(A916="","",Prices!C916)</f>
        <v/>
      </c>
      <c r="C916" s="15" t="str">
        <f aca="false">IF(A916="","",IFERROR(INDEX(FX!$B:$B,MATCH(A916,FX!$A:$A,1)),""))</f>
        <v/>
      </c>
      <c r="D916" s="14" t="str">
        <f aca="false">IF(A916="","",SUMIFS(Transactions!$D:$D,Transactions!$A:$A,"&lt;="&amp;A916,Transactions!$B:$B,Settings!$B$1))</f>
        <v/>
      </c>
      <c r="E916" s="14" t="str">
        <f aca="false">IF(A916="","",SUMIFS(Transactions!$C:$C,Transactions!$A:$A,"&lt;="&amp;A916,Transactions!$B:$B,Settings!$B$1)+SUMIFS(Transactions!$F:$F,Transactions!$A:$A,"&lt;="&amp;A916,Transactions!$B:$B,Settings!$B$1))</f>
        <v/>
      </c>
      <c r="F916" s="14" t="str">
        <f aca="false">IF(A916="","",IF(C916="","",D916*B916*C916))</f>
        <v/>
      </c>
      <c r="G916" s="14" t="str">
        <f aca="false">IF(F916="","",F916-E916)</f>
        <v/>
      </c>
      <c r="H916" s="14" t="str">
        <f aca="false">IF(F916="","",IFERROR(F916-F915-(E916-E915),0))</f>
        <v/>
      </c>
    </row>
    <row r="917" customFormat="false" ht="15" hidden="false" customHeight="false" outlineLevel="0" collapsed="false">
      <c r="A917" s="13" t="str">
        <f aca="false">IF(Prices!A917="","",Prices!A917)</f>
        <v/>
      </c>
      <c r="B917" s="14" t="str">
        <f aca="false">IF(A917="","",Prices!C917)</f>
        <v/>
      </c>
      <c r="C917" s="15" t="str">
        <f aca="false">IF(A917="","",IFERROR(INDEX(FX!$B:$B,MATCH(A917,FX!$A:$A,1)),""))</f>
        <v/>
      </c>
      <c r="D917" s="14" t="str">
        <f aca="false">IF(A917="","",SUMIFS(Transactions!$D:$D,Transactions!$A:$A,"&lt;="&amp;A917,Transactions!$B:$B,Settings!$B$1))</f>
        <v/>
      </c>
      <c r="E917" s="14" t="str">
        <f aca="false">IF(A917="","",SUMIFS(Transactions!$C:$C,Transactions!$A:$A,"&lt;="&amp;A917,Transactions!$B:$B,Settings!$B$1)+SUMIFS(Transactions!$F:$F,Transactions!$A:$A,"&lt;="&amp;A917,Transactions!$B:$B,Settings!$B$1))</f>
        <v/>
      </c>
      <c r="F917" s="14" t="str">
        <f aca="false">IF(A917="","",IF(C917="","",D917*B917*C917))</f>
        <v/>
      </c>
      <c r="G917" s="14" t="str">
        <f aca="false">IF(F917="","",F917-E917)</f>
        <v/>
      </c>
      <c r="H917" s="14" t="str">
        <f aca="false">IF(F917="","",IFERROR(F917-F916-(E917-E916),0))</f>
        <v/>
      </c>
    </row>
    <row r="918" customFormat="false" ht="15" hidden="false" customHeight="false" outlineLevel="0" collapsed="false">
      <c r="A918" s="13" t="str">
        <f aca="false">IF(Prices!A918="","",Prices!A918)</f>
        <v/>
      </c>
      <c r="B918" s="14" t="str">
        <f aca="false">IF(A918="","",Prices!C918)</f>
        <v/>
      </c>
      <c r="C918" s="15" t="str">
        <f aca="false">IF(A918="","",IFERROR(INDEX(FX!$B:$B,MATCH(A918,FX!$A:$A,1)),""))</f>
        <v/>
      </c>
      <c r="D918" s="14" t="str">
        <f aca="false">IF(A918="","",SUMIFS(Transactions!$D:$D,Transactions!$A:$A,"&lt;="&amp;A918,Transactions!$B:$B,Settings!$B$1))</f>
        <v/>
      </c>
      <c r="E918" s="14" t="str">
        <f aca="false">IF(A918="","",SUMIFS(Transactions!$C:$C,Transactions!$A:$A,"&lt;="&amp;A918,Transactions!$B:$B,Settings!$B$1)+SUMIFS(Transactions!$F:$F,Transactions!$A:$A,"&lt;="&amp;A918,Transactions!$B:$B,Settings!$B$1))</f>
        <v/>
      </c>
      <c r="F918" s="14" t="str">
        <f aca="false">IF(A918="","",IF(C918="","",D918*B918*C918))</f>
        <v/>
      </c>
      <c r="G918" s="14" t="str">
        <f aca="false">IF(F918="","",F918-E918)</f>
        <v/>
      </c>
      <c r="H918" s="14" t="str">
        <f aca="false">IF(F918="","",IFERROR(F918-F917-(E918-E917),0))</f>
        <v/>
      </c>
    </row>
    <row r="919" customFormat="false" ht="15" hidden="false" customHeight="false" outlineLevel="0" collapsed="false">
      <c r="A919" s="13" t="str">
        <f aca="false">IF(Prices!A919="","",Prices!A919)</f>
        <v/>
      </c>
      <c r="B919" s="14" t="str">
        <f aca="false">IF(A919="","",Prices!C919)</f>
        <v/>
      </c>
      <c r="C919" s="15" t="str">
        <f aca="false">IF(A919="","",IFERROR(INDEX(FX!$B:$B,MATCH(A919,FX!$A:$A,1)),""))</f>
        <v/>
      </c>
      <c r="D919" s="14" t="str">
        <f aca="false">IF(A919="","",SUMIFS(Transactions!$D:$D,Transactions!$A:$A,"&lt;="&amp;A919,Transactions!$B:$B,Settings!$B$1))</f>
        <v/>
      </c>
      <c r="E919" s="14" t="str">
        <f aca="false">IF(A919="","",SUMIFS(Transactions!$C:$C,Transactions!$A:$A,"&lt;="&amp;A919,Transactions!$B:$B,Settings!$B$1)+SUMIFS(Transactions!$F:$F,Transactions!$A:$A,"&lt;="&amp;A919,Transactions!$B:$B,Settings!$B$1))</f>
        <v/>
      </c>
      <c r="F919" s="14" t="str">
        <f aca="false">IF(A919="","",IF(C919="","",D919*B919*C919))</f>
        <v/>
      </c>
      <c r="G919" s="14" t="str">
        <f aca="false">IF(F919="","",F919-E919)</f>
        <v/>
      </c>
      <c r="H919" s="14" t="str">
        <f aca="false">IF(F919="","",IFERROR(F919-F918-(E919-E918),0))</f>
        <v/>
      </c>
    </row>
    <row r="920" customFormat="false" ht="15" hidden="false" customHeight="false" outlineLevel="0" collapsed="false">
      <c r="A920" s="13" t="str">
        <f aca="false">IF(Prices!A920="","",Prices!A920)</f>
        <v/>
      </c>
      <c r="B920" s="14" t="str">
        <f aca="false">IF(A920="","",Prices!C920)</f>
        <v/>
      </c>
      <c r="C920" s="15" t="str">
        <f aca="false">IF(A920="","",IFERROR(INDEX(FX!$B:$B,MATCH(A920,FX!$A:$A,1)),""))</f>
        <v/>
      </c>
      <c r="D920" s="14" t="str">
        <f aca="false">IF(A920="","",SUMIFS(Transactions!$D:$D,Transactions!$A:$A,"&lt;="&amp;A920,Transactions!$B:$B,Settings!$B$1))</f>
        <v/>
      </c>
      <c r="E920" s="14" t="str">
        <f aca="false">IF(A920="","",SUMIFS(Transactions!$C:$C,Transactions!$A:$A,"&lt;="&amp;A920,Transactions!$B:$B,Settings!$B$1)+SUMIFS(Transactions!$F:$F,Transactions!$A:$A,"&lt;="&amp;A920,Transactions!$B:$B,Settings!$B$1))</f>
        <v/>
      </c>
      <c r="F920" s="14" t="str">
        <f aca="false">IF(A920="","",IF(C920="","",D920*B920*C920))</f>
        <v/>
      </c>
      <c r="G920" s="14" t="str">
        <f aca="false">IF(F920="","",F920-E920)</f>
        <v/>
      </c>
      <c r="H920" s="14" t="str">
        <f aca="false">IF(F920="","",IFERROR(F920-F919-(E920-E919),0))</f>
        <v/>
      </c>
    </row>
    <row r="921" customFormat="false" ht="15" hidden="false" customHeight="false" outlineLevel="0" collapsed="false">
      <c r="A921" s="13" t="str">
        <f aca="false">IF(Prices!A921="","",Prices!A921)</f>
        <v/>
      </c>
      <c r="B921" s="14" t="str">
        <f aca="false">IF(A921="","",Prices!C921)</f>
        <v/>
      </c>
      <c r="C921" s="15" t="str">
        <f aca="false">IF(A921="","",IFERROR(INDEX(FX!$B:$B,MATCH(A921,FX!$A:$A,1)),""))</f>
        <v/>
      </c>
      <c r="D921" s="14" t="str">
        <f aca="false">IF(A921="","",SUMIFS(Transactions!$D:$D,Transactions!$A:$A,"&lt;="&amp;A921,Transactions!$B:$B,Settings!$B$1))</f>
        <v/>
      </c>
      <c r="E921" s="14" t="str">
        <f aca="false">IF(A921="","",SUMIFS(Transactions!$C:$C,Transactions!$A:$A,"&lt;="&amp;A921,Transactions!$B:$B,Settings!$B$1)+SUMIFS(Transactions!$F:$F,Transactions!$A:$A,"&lt;="&amp;A921,Transactions!$B:$B,Settings!$B$1))</f>
        <v/>
      </c>
      <c r="F921" s="14" t="str">
        <f aca="false">IF(A921="","",IF(C921="","",D921*B921*C921))</f>
        <v/>
      </c>
      <c r="G921" s="14" t="str">
        <f aca="false">IF(F921="","",F921-E921)</f>
        <v/>
      </c>
      <c r="H921" s="14" t="str">
        <f aca="false">IF(F921="","",IFERROR(F921-F920-(E921-E920),0))</f>
        <v/>
      </c>
    </row>
    <row r="922" customFormat="false" ht="15" hidden="false" customHeight="false" outlineLevel="0" collapsed="false">
      <c r="A922" s="13" t="str">
        <f aca="false">IF(Prices!A922="","",Prices!A922)</f>
        <v/>
      </c>
      <c r="B922" s="14" t="str">
        <f aca="false">IF(A922="","",Prices!C922)</f>
        <v/>
      </c>
      <c r="C922" s="15" t="str">
        <f aca="false">IF(A922="","",IFERROR(INDEX(FX!$B:$B,MATCH(A922,FX!$A:$A,1)),""))</f>
        <v/>
      </c>
      <c r="D922" s="14" t="str">
        <f aca="false">IF(A922="","",SUMIFS(Transactions!$D:$D,Transactions!$A:$A,"&lt;="&amp;A922,Transactions!$B:$B,Settings!$B$1))</f>
        <v/>
      </c>
      <c r="E922" s="14" t="str">
        <f aca="false">IF(A922="","",SUMIFS(Transactions!$C:$C,Transactions!$A:$A,"&lt;="&amp;A922,Transactions!$B:$B,Settings!$B$1)+SUMIFS(Transactions!$F:$F,Transactions!$A:$A,"&lt;="&amp;A922,Transactions!$B:$B,Settings!$B$1))</f>
        <v/>
      </c>
      <c r="F922" s="14" t="str">
        <f aca="false">IF(A922="","",IF(C922="","",D922*B922*C922))</f>
        <v/>
      </c>
      <c r="G922" s="14" t="str">
        <f aca="false">IF(F922="","",F922-E922)</f>
        <v/>
      </c>
      <c r="H922" s="14" t="str">
        <f aca="false">IF(F922="","",IFERROR(F922-F921-(E922-E921),0))</f>
        <v/>
      </c>
    </row>
    <row r="923" customFormat="false" ht="15" hidden="false" customHeight="false" outlineLevel="0" collapsed="false">
      <c r="A923" s="13" t="str">
        <f aca="false">IF(Prices!A923="","",Prices!A923)</f>
        <v/>
      </c>
      <c r="B923" s="14" t="str">
        <f aca="false">IF(A923="","",Prices!C923)</f>
        <v/>
      </c>
      <c r="C923" s="15" t="str">
        <f aca="false">IF(A923="","",IFERROR(INDEX(FX!$B:$B,MATCH(A923,FX!$A:$A,1)),""))</f>
        <v/>
      </c>
      <c r="D923" s="14" t="str">
        <f aca="false">IF(A923="","",SUMIFS(Transactions!$D:$D,Transactions!$A:$A,"&lt;="&amp;A923,Transactions!$B:$B,Settings!$B$1))</f>
        <v/>
      </c>
      <c r="E923" s="14" t="str">
        <f aca="false">IF(A923="","",SUMIFS(Transactions!$C:$C,Transactions!$A:$A,"&lt;="&amp;A923,Transactions!$B:$B,Settings!$B$1)+SUMIFS(Transactions!$F:$F,Transactions!$A:$A,"&lt;="&amp;A923,Transactions!$B:$B,Settings!$B$1))</f>
        <v/>
      </c>
      <c r="F923" s="14" t="str">
        <f aca="false">IF(A923="","",IF(C923="","",D923*B923*C923))</f>
        <v/>
      </c>
      <c r="G923" s="14" t="str">
        <f aca="false">IF(F923="","",F923-E923)</f>
        <v/>
      </c>
      <c r="H923" s="14" t="str">
        <f aca="false">IF(F923="","",IFERROR(F923-F922-(E923-E922),0))</f>
        <v/>
      </c>
    </row>
    <row r="924" customFormat="false" ht="15" hidden="false" customHeight="false" outlineLevel="0" collapsed="false">
      <c r="A924" s="13" t="str">
        <f aca="false">IF(Prices!A924="","",Prices!A924)</f>
        <v/>
      </c>
      <c r="B924" s="14" t="str">
        <f aca="false">IF(A924="","",Prices!C924)</f>
        <v/>
      </c>
      <c r="C924" s="15" t="str">
        <f aca="false">IF(A924="","",IFERROR(INDEX(FX!$B:$B,MATCH(A924,FX!$A:$A,1)),""))</f>
        <v/>
      </c>
      <c r="D924" s="14" t="str">
        <f aca="false">IF(A924="","",SUMIFS(Transactions!$D:$D,Transactions!$A:$A,"&lt;="&amp;A924,Transactions!$B:$B,Settings!$B$1))</f>
        <v/>
      </c>
      <c r="E924" s="14" t="str">
        <f aca="false">IF(A924="","",SUMIFS(Transactions!$C:$C,Transactions!$A:$A,"&lt;="&amp;A924,Transactions!$B:$B,Settings!$B$1)+SUMIFS(Transactions!$F:$F,Transactions!$A:$A,"&lt;="&amp;A924,Transactions!$B:$B,Settings!$B$1))</f>
        <v/>
      </c>
      <c r="F924" s="14" t="str">
        <f aca="false">IF(A924="","",IF(C924="","",D924*B924*C924))</f>
        <v/>
      </c>
      <c r="G924" s="14" t="str">
        <f aca="false">IF(F924="","",F924-E924)</f>
        <v/>
      </c>
      <c r="H924" s="14" t="str">
        <f aca="false">IF(F924="","",IFERROR(F924-F923-(E924-E923),0))</f>
        <v/>
      </c>
    </row>
    <row r="925" customFormat="false" ht="15" hidden="false" customHeight="false" outlineLevel="0" collapsed="false">
      <c r="A925" s="13" t="str">
        <f aca="false">IF(Prices!A925="","",Prices!A925)</f>
        <v/>
      </c>
      <c r="B925" s="14" t="str">
        <f aca="false">IF(A925="","",Prices!C925)</f>
        <v/>
      </c>
      <c r="C925" s="15" t="str">
        <f aca="false">IF(A925="","",IFERROR(INDEX(FX!$B:$B,MATCH(A925,FX!$A:$A,1)),""))</f>
        <v/>
      </c>
      <c r="D925" s="14" t="str">
        <f aca="false">IF(A925="","",SUMIFS(Transactions!$D:$D,Transactions!$A:$A,"&lt;="&amp;A925,Transactions!$B:$B,Settings!$B$1))</f>
        <v/>
      </c>
      <c r="E925" s="14" t="str">
        <f aca="false">IF(A925="","",SUMIFS(Transactions!$C:$C,Transactions!$A:$A,"&lt;="&amp;A925,Transactions!$B:$B,Settings!$B$1)+SUMIFS(Transactions!$F:$F,Transactions!$A:$A,"&lt;="&amp;A925,Transactions!$B:$B,Settings!$B$1))</f>
        <v/>
      </c>
      <c r="F925" s="14" t="str">
        <f aca="false">IF(A925="","",IF(C925="","",D925*B925*C925))</f>
        <v/>
      </c>
      <c r="G925" s="14" t="str">
        <f aca="false">IF(F925="","",F925-E925)</f>
        <v/>
      </c>
      <c r="H925" s="14" t="str">
        <f aca="false">IF(F925="","",IFERROR(F925-F924-(E925-E924),0))</f>
        <v/>
      </c>
    </row>
    <row r="926" customFormat="false" ht="15" hidden="false" customHeight="false" outlineLevel="0" collapsed="false">
      <c r="A926" s="13" t="str">
        <f aca="false">IF(Prices!A926="","",Prices!A926)</f>
        <v/>
      </c>
      <c r="B926" s="14" t="str">
        <f aca="false">IF(A926="","",Prices!C926)</f>
        <v/>
      </c>
      <c r="C926" s="15" t="str">
        <f aca="false">IF(A926="","",IFERROR(INDEX(FX!$B:$B,MATCH(A926,FX!$A:$A,1)),""))</f>
        <v/>
      </c>
      <c r="D926" s="14" t="str">
        <f aca="false">IF(A926="","",SUMIFS(Transactions!$D:$D,Transactions!$A:$A,"&lt;="&amp;A926,Transactions!$B:$B,Settings!$B$1))</f>
        <v/>
      </c>
      <c r="E926" s="14" t="str">
        <f aca="false">IF(A926="","",SUMIFS(Transactions!$C:$C,Transactions!$A:$A,"&lt;="&amp;A926,Transactions!$B:$B,Settings!$B$1)+SUMIFS(Transactions!$F:$F,Transactions!$A:$A,"&lt;="&amp;A926,Transactions!$B:$B,Settings!$B$1))</f>
        <v/>
      </c>
      <c r="F926" s="14" t="str">
        <f aca="false">IF(A926="","",IF(C926="","",D926*B926*C926))</f>
        <v/>
      </c>
      <c r="G926" s="14" t="str">
        <f aca="false">IF(F926="","",F926-E926)</f>
        <v/>
      </c>
      <c r="H926" s="14" t="str">
        <f aca="false">IF(F926="","",IFERROR(F926-F925-(E926-E925),0))</f>
        <v/>
      </c>
    </row>
    <row r="927" customFormat="false" ht="15" hidden="false" customHeight="false" outlineLevel="0" collapsed="false">
      <c r="A927" s="13" t="str">
        <f aca="false">IF(Prices!A927="","",Prices!A927)</f>
        <v/>
      </c>
      <c r="B927" s="14" t="str">
        <f aca="false">IF(A927="","",Prices!C927)</f>
        <v/>
      </c>
      <c r="C927" s="15" t="str">
        <f aca="false">IF(A927="","",IFERROR(INDEX(FX!$B:$B,MATCH(A927,FX!$A:$A,1)),""))</f>
        <v/>
      </c>
      <c r="D927" s="14" t="str">
        <f aca="false">IF(A927="","",SUMIFS(Transactions!$D:$D,Transactions!$A:$A,"&lt;="&amp;A927,Transactions!$B:$B,Settings!$B$1))</f>
        <v/>
      </c>
      <c r="E927" s="14" t="str">
        <f aca="false">IF(A927="","",SUMIFS(Transactions!$C:$C,Transactions!$A:$A,"&lt;="&amp;A927,Transactions!$B:$B,Settings!$B$1)+SUMIFS(Transactions!$F:$F,Transactions!$A:$A,"&lt;="&amp;A927,Transactions!$B:$B,Settings!$B$1))</f>
        <v/>
      </c>
      <c r="F927" s="14" t="str">
        <f aca="false">IF(A927="","",IF(C927="","",D927*B927*C927))</f>
        <v/>
      </c>
      <c r="G927" s="14" t="str">
        <f aca="false">IF(F927="","",F927-E927)</f>
        <v/>
      </c>
      <c r="H927" s="14" t="str">
        <f aca="false">IF(F927="","",IFERROR(F927-F926-(E927-E926),0))</f>
        <v/>
      </c>
    </row>
    <row r="928" customFormat="false" ht="15" hidden="false" customHeight="false" outlineLevel="0" collapsed="false">
      <c r="A928" s="13" t="str">
        <f aca="false">IF(Prices!A928="","",Prices!A928)</f>
        <v/>
      </c>
      <c r="B928" s="14" t="str">
        <f aca="false">IF(A928="","",Prices!C928)</f>
        <v/>
      </c>
      <c r="C928" s="15" t="str">
        <f aca="false">IF(A928="","",IFERROR(INDEX(FX!$B:$B,MATCH(A928,FX!$A:$A,1)),""))</f>
        <v/>
      </c>
      <c r="D928" s="14" t="str">
        <f aca="false">IF(A928="","",SUMIFS(Transactions!$D:$D,Transactions!$A:$A,"&lt;="&amp;A928,Transactions!$B:$B,Settings!$B$1))</f>
        <v/>
      </c>
      <c r="E928" s="14" t="str">
        <f aca="false">IF(A928="","",SUMIFS(Transactions!$C:$C,Transactions!$A:$A,"&lt;="&amp;A928,Transactions!$B:$B,Settings!$B$1)+SUMIFS(Transactions!$F:$F,Transactions!$A:$A,"&lt;="&amp;A928,Transactions!$B:$B,Settings!$B$1))</f>
        <v/>
      </c>
      <c r="F928" s="14" t="str">
        <f aca="false">IF(A928="","",IF(C928="","",D928*B928*C928))</f>
        <v/>
      </c>
      <c r="G928" s="14" t="str">
        <f aca="false">IF(F928="","",F928-E928)</f>
        <v/>
      </c>
      <c r="H928" s="14" t="str">
        <f aca="false">IF(F928="","",IFERROR(F928-F927-(E928-E927),0))</f>
        <v/>
      </c>
    </row>
    <row r="929" customFormat="false" ht="15" hidden="false" customHeight="false" outlineLevel="0" collapsed="false">
      <c r="A929" s="13" t="str">
        <f aca="false">IF(Prices!A929="","",Prices!A929)</f>
        <v/>
      </c>
      <c r="B929" s="14" t="str">
        <f aca="false">IF(A929="","",Prices!C929)</f>
        <v/>
      </c>
      <c r="C929" s="15" t="str">
        <f aca="false">IF(A929="","",IFERROR(INDEX(FX!$B:$B,MATCH(A929,FX!$A:$A,1)),""))</f>
        <v/>
      </c>
      <c r="D929" s="14" t="str">
        <f aca="false">IF(A929="","",SUMIFS(Transactions!$D:$D,Transactions!$A:$A,"&lt;="&amp;A929,Transactions!$B:$B,Settings!$B$1))</f>
        <v/>
      </c>
      <c r="E929" s="14" t="str">
        <f aca="false">IF(A929="","",SUMIFS(Transactions!$C:$C,Transactions!$A:$A,"&lt;="&amp;A929,Transactions!$B:$B,Settings!$B$1)+SUMIFS(Transactions!$F:$F,Transactions!$A:$A,"&lt;="&amp;A929,Transactions!$B:$B,Settings!$B$1))</f>
        <v/>
      </c>
      <c r="F929" s="14" t="str">
        <f aca="false">IF(A929="","",IF(C929="","",D929*B929*C929))</f>
        <v/>
      </c>
      <c r="G929" s="14" t="str">
        <f aca="false">IF(F929="","",F929-E929)</f>
        <v/>
      </c>
      <c r="H929" s="14" t="str">
        <f aca="false">IF(F929="","",IFERROR(F929-F928-(E929-E928),0))</f>
        <v/>
      </c>
    </row>
    <row r="930" customFormat="false" ht="15" hidden="false" customHeight="false" outlineLevel="0" collapsed="false">
      <c r="A930" s="13" t="str">
        <f aca="false">IF(Prices!A930="","",Prices!A930)</f>
        <v/>
      </c>
      <c r="B930" s="14" t="str">
        <f aca="false">IF(A930="","",Prices!C930)</f>
        <v/>
      </c>
      <c r="C930" s="15" t="str">
        <f aca="false">IF(A930="","",IFERROR(INDEX(FX!$B:$B,MATCH(A930,FX!$A:$A,1)),""))</f>
        <v/>
      </c>
      <c r="D930" s="14" t="str">
        <f aca="false">IF(A930="","",SUMIFS(Transactions!$D:$D,Transactions!$A:$A,"&lt;="&amp;A930,Transactions!$B:$B,Settings!$B$1))</f>
        <v/>
      </c>
      <c r="E930" s="14" t="str">
        <f aca="false">IF(A930="","",SUMIFS(Transactions!$C:$C,Transactions!$A:$A,"&lt;="&amp;A930,Transactions!$B:$B,Settings!$B$1)+SUMIFS(Transactions!$F:$F,Transactions!$A:$A,"&lt;="&amp;A930,Transactions!$B:$B,Settings!$B$1))</f>
        <v/>
      </c>
      <c r="F930" s="14" t="str">
        <f aca="false">IF(A930="","",IF(C930="","",D930*B930*C930))</f>
        <v/>
      </c>
      <c r="G930" s="14" t="str">
        <f aca="false">IF(F930="","",F930-E930)</f>
        <v/>
      </c>
      <c r="H930" s="14" t="str">
        <f aca="false">IF(F930="","",IFERROR(F930-F929-(E930-E929),0))</f>
        <v/>
      </c>
    </row>
    <row r="931" customFormat="false" ht="15" hidden="false" customHeight="false" outlineLevel="0" collapsed="false">
      <c r="A931" s="13" t="str">
        <f aca="false">IF(Prices!A931="","",Prices!A931)</f>
        <v/>
      </c>
      <c r="B931" s="14" t="str">
        <f aca="false">IF(A931="","",Prices!C931)</f>
        <v/>
      </c>
      <c r="C931" s="15" t="str">
        <f aca="false">IF(A931="","",IFERROR(INDEX(FX!$B:$B,MATCH(A931,FX!$A:$A,1)),""))</f>
        <v/>
      </c>
      <c r="D931" s="14" t="str">
        <f aca="false">IF(A931="","",SUMIFS(Transactions!$D:$D,Transactions!$A:$A,"&lt;="&amp;A931,Transactions!$B:$B,Settings!$B$1))</f>
        <v/>
      </c>
      <c r="E931" s="14" t="str">
        <f aca="false">IF(A931="","",SUMIFS(Transactions!$C:$C,Transactions!$A:$A,"&lt;="&amp;A931,Transactions!$B:$B,Settings!$B$1)+SUMIFS(Transactions!$F:$F,Transactions!$A:$A,"&lt;="&amp;A931,Transactions!$B:$B,Settings!$B$1))</f>
        <v/>
      </c>
      <c r="F931" s="14" t="str">
        <f aca="false">IF(A931="","",IF(C931="","",D931*B931*C931))</f>
        <v/>
      </c>
      <c r="G931" s="14" t="str">
        <f aca="false">IF(F931="","",F931-E931)</f>
        <v/>
      </c>
      <c r="H931" s="14" t="str">
        <f aca="false">IF(F931="","",IFERROR(F931-F930-(E931-E930),0))</f>
        <v/>
      </c>
    </row>
    <row r="932" customFormat="false" ht="15" hidden="false" customHeight="false" outlineLevel="0" collapsed="false">
      <c r="A932" s="13" t="str">
        <f aca="false">IF(Prices!A932="","",Prices!A932)</f>
        <v/>
      </c>
      <c r="B932" s="14" t="str">
        <f aca="false">IF(A932="","",Prices!C932)</f>
        <v/>
      </c>
      <c r="C932" s="15" t="str">
        <f aca="false">IF(A932="","",IFERROR(INDEX(FX!$B:$B,MATCH(A932,FX!$A:$A,1)),""))</f>
        <v/>
      </c>
      <c r="D932" s="14" t="str">
        <f aca="false">IF(A932="","",SUMIFS(Transactions!$D:$D,Transactions!$A:$A,"&lt;="&amp;A932,Transactions!$B:$B,Settings!$B$1))</f>
        <v/>
      </c>
      <c r="E932" s="14" t="str">
        <f aca="false">IF(A932="","",SUMIFS(Transactions!$C:$C,Transactions!$A:$A,"&lt;="&amp;A932,Transactions!$B:$B,Settings!$B$1)+SUMIFS(Transactions!$F:$F,Transactions!$A:$A,"&lt;="&amp;A932,Transactions!$B:$B,Settings!$B$1))</f>
        <v/>
      </c>
      <c r="F932" s="14" t="str">
        <f aca="false">IF(A932="","",IF(C932="","",D932*B932*C932))</f>
        <v/>
      </c>
      <c r="G932" s="14" t="str">
        <f aca="false">IF(F932="","",F932-E932)</f>
        <v/>
      </c>
      <c r="H932" s="14" t="str">
        <f aca="false">IF(F932="","",IFERROR(F932-F931-(E932-E931),0))</f>
        <v/>
      </c>
    </row>
    <row r="933" customFormat="false" ht="15" hidden="false" customHeight="false" outlineLevel="0" collapsed="false">
      <c r="A933" s="13" t="str">
        <f aca="false">IF(Prices!A933="","",Prices!A933)</f>
        <v/>
      </c>
      <c r="B933" s="14" t="str">
        <f aca="false">IF(A933="","",Prices!C933)</f>
        <v/>
      </c>
      <c r="C933" s="15" t="str">
        <f aca="false">IF(A933="","",IFERROR(INDEX(FX!$B:$B,MATCH(A933,FX!$A:$A,1)),""))</f>
        <v/>
      </c>
      <c r="D933" s="14" t="str">
        <f aca="false">IF(A933="","",SUMIFS(Transactions!$D:$D,Transactions!$A:$A,"&lt;="&amp;A933,Transactions!$B:$B,Settings!$B$1))</f>
        <v/>
      </c>
      <c r="E933" s="14" t="str">
        <f aca="false">IF(A933="","",SUMIFS(Transactions!$C:$C,Transactions!$A:$A,"&lt;="&amp;A933,Transactions!$B:$B,Settings!$B$1)+SUMIFS(Transactions!$F:$F,Transactions!$A:$A,"&lt;="&amp;A933,Transactions!$B:$B,Settings!$B$1))</f>
        <v/>
      </c>
      <c r="F933" s="14" t="str">
        <f aca="false">IF(A933="","",IF(C933="","",D933*B933*C933))</f>
        <v/>
      </c>
      <c r="G933" s="14" t="str">
        <f aca="false">IF(F933="","",F933-E933)</f>
        <v/>
      </c>
      <c r="H933" s="14" t="str">
        <f aca="false">IF(F933="","",IFERROR(F933-F932-(E933-E932),0))</f>
        <v/>
      </c>
    </row>
    <row r="934" customFormat="false" ht="15" hidden="false" customHeight="false" outlineLevel="0" collapsed="false">
      <c r="A934" s="13" t="str">
        <f aca="false">IF(Prices!A934="","",Prices!A934)</f>
        <v/>
      </c>
      <c r="B934" s="14" t="str">
        <f aca="false">IF(A934="","",Prices!C934)</f>
        <v/>
      </c>
      <c r="C934" s="15" t="str">
        <f aca="false">IF(A934="","",IFERROR(INDEX(FX!$B:$B,MATCH(A934,FX!$A:$A,1)),""))</f>
        <v/>
      </c>
      <c r="D934" s="14" t="str">
        <f aca="false">IF(A934="","",SUMIFS(Transactions!$D:$D,Transactions!$A:$A,"&lt;="&amp;A934,Transactions!$B:$B,Settings!$B$1))</f>
        <v/>
      </c>
      <c r="E934" s="14" t="str">
        <f aca="false">IF(A934="","",SUMIFS(Transactions!$C:$C,Transactions!$A:$A,"&lt;="&amp;A934,Transactions!$B:$B,Settings!$B$1)+SUMIFS(Transactions!$F:$F,Transactions!$A:$A,"&lt;="&amp;A934,Transactions!$B:$B,Settings!$B$1))</f>
        <v/>
      </c>
      <c r="F934" s="14" t="str">
        <f aca="false">IF(A934="","",IF(C934="","",D934*B934*C934))</f>
        <v/>
      </c>
      <c r="G934" s="14" t="str">
        <f aca="false">IF(F934="","",F934-E934)</f>
        <v/>
      </c>
      <c r="H934" s="14" t="str">
        <f aca="false">IF(F934="","",IFERROR(F934-F933-(E934-E933),0))</f>
        <v/>
      </c>
    </row>
    <row r="935" customFormat="false" ht="15" hidden="false" customHeight="false" outlineLevel="0" collapsed="false">
      <c r="A935" s="13" t="str">
        <f aca="false">IF(Prices!A935="","",Prices!A935)</f>
        <v/>
      </c>
      <c r="B935" s="14" t="str">
        <f aca="false">IF(A935="","",Prices!C935)</f>
        <v/>
      </c>
      <c r="C935" s="15" t="str">
        <f aca="false">IF(A935="","",IFERROR(INDEX(FX!$B:$B,MATCH(A935,FX!$A:$A,1)),""))</f>
        <v/>
      </c>
      <c r="D935" s="14" t="str">
        <f aca="false">IF(A935="","",SUMIFS(Transactions!$D:$D,Transactions!$A:$A,"&lt;="&amp;A935,Transactions!$B:$B,Settings!$B$1))</f>
        <v/>
      </c>
      <c r="E935" s="14" t="str">
        <f aca="false">IF(A935="","",SUMIFS(Transactions!$C:$C,Transactions!$A:$A,"&lt;="&amp;A935,Transactions!$B:$B,Settings!$B$1)+SUMIFS(Transactions!$F:$F,Transactions!$A:$A,"&lt;="&amp;A935,Transactions!$B:$B,Settings!$B$1))</f>
        <v/>
      </c>
      <c r="F935" s="14" t="str">
        <f aca="false">IF(A935="","",IF(C935="","",D935*B935*C935))</f>
        <v/>
      </c>
      <c r="G935" s="14" t="str">
        <f aca="false">IF(F935="","",F935-E935)</f>
        <v/>
      </c>
      <c r="H935" s="14" t="str">
        <f aca="false">IF(F935="","",IFERROR(F935-F934-(E935-E934),0))</f>
        <v/>
      </c>
    </row>
    <row r="936" customFormat="false" ht="15" hidden="false" customHeight="false" outlineLevel="0" collapsed="false">
      <c r="A936" s="13" t="str">
        <f aca="false">IF(Prices!A936="","",Prices!A936)</f>
        <v/>
      </c>
      <c r="B936" s="14" t="str">
        <f aca="false">IF(A936="","",Prices!C936)</f>
        <v/>
      </c>
      <c r="C936" s="15" t="str">
        <f aca="false">IF(A936="","",IFERROR(INDEX(FX!$B:$B,MATCH(A936,FX!$A:$A,1)),""))</f>
        <v/>
      </c>
      <c r="D936" s="14" t="str">
        <f aca="false">IF(A936="","",SUMIFS(Transactions!$D:$D,Transactions!$A:$A,"&lt;="&amp;A936,Transactions!$B:$B,Settings!$B$1))</f>
        <v/>
      </c>
      <c r="E936" s="14" t="str">
        <f aca="false">IF(A936="","",SUMIFS(Transactions!$C:$C,Transactions!$A:$A,"&lt;="&amp;A936,Transactions!$B:$B,Settings!$B$1)+SUMIFS(Transactions!$F:$F,Transactions!$A:$A,"&lt;="&amp;A936,Transactions!$B:$B,Settings!$B$1))</f>
        <v/>
      </c>
      <c r="F936" s="14" t="str">
        <f aca="false">IF(A936="","",IF(C936="","",D936*B936*C936))</f>
        <v/>
      </c>
      <c r="G936" s="14" t="str">
        <f aca="false">IF(F936="","",F936-E936)</f>
        <v/>
      </c>
      <c r="H936" s="14" t="str">
        <f aca="false">IF(F936="","",IFERROR(F936-F935-(E936-E935),0))</f>
        <v/>
      </c>
    </row>
    <row r="937" customFormat="false" ht="15" hidden="false" customHeight="false" outlineLevel="0" collapsed="false">
      <c r="A937" s="13" t="str">
        <f aca="false">IF(Prices!A937="","",Prices!A937)</f>
        <v/>
      </c>
      <c r="B937" s="14" t="str">
        <f aca="false">IF(A937="","",Prices!C937)</f>
        <v/>
      </c>
      <c r="C937" s="15" t="str">
        <f aca="false">IF(A937="","",IFERROR(INDEX(FX!$B:$B,MATCH(A937,FX!$A:$A,1)),""))</f>
        <v/>
      </c>
      <c r="D937" s="14" t="str">
        <f aca="false">IF(A937="","",SUMIFS(Transactions!$D:$D,Transactions!$A:$A,"&lt;="&amp;A937,Transactions!$B:$B,Settings!$B$1))</f>
        <v/>
      </c>
      <c r="E937" s="14" t="str">
        <f aca="false">IF(A937="","",SUMIFS(Transactions!$C:$C,Transactions!$A:$A,"&lt;="&amp;A937,Transactions!$B:$B,Settings!$B$1)+SUMIFS(Transactions!$F:$F,Transactions!$A:$A,"&lt;="&amp;A937,Transactions!$B:$B,Settings!$B$1))</f>
        <v/>
      </c>
      <c r="F937" s="14" t="str">
        <f aca="false">IF(A937="","",IF(C937="","",D937*B937*C937))</f>
        <v/>
      </c>
      <c r="G937" s="14" t="str">
        <f aca="false">IF(F937="","",F937-E937)</f>
        <v/>
      </c>
      <c r="H937" s="14" t="str">
        <f aca="false">IF(F937="","",IFERROR(F937-F936-(E937-E936),0))</f>
        <v/>
      </c>
    </row>
    <row r="938" customFormat="false" ht="15" hidden="false" customHeight="false" outlineLevel="0" collapsed="false">
      <c r="A938" s="13" t="str">
        <f aca="false">IF(Prices!A938="","",Prices!A938)</f>
        <v/>
      </c>
      <c r="B938" s="14" t="str">
        <f aca="false">IF(A938="","",Prices!C938)</f>
        <v/>
      </c>
      <c r="C938" s="15" t="str">
        <f aca="false">IF(A938="","",IFERROR(INDEX(FX!$B:$B,MATCH(A938,FX!$A:$A,1)),""))</f>
        <v/>
      </c>
      <c r="D938" s="14" t="str">
        <f aca="false">IF(A938="","",SUMIFS(Transactions!$D:$D,Transactions!$A:$A,"&lt;="&amp;A938,Transactions!$B:$B,Settings!$B$1))</f>
        <v/>
      </c>
      <c r="E938" s="14" t="str">
        <f aca="false">IF(A938="","",SUMIFS(Transactions!$C:$C,Transactions!$A:$A,"&lt;="&amp;A938,Transactions!$B:$B,Settings!$B$1)+SUMIFS(Transactions!$F:$F,Transactions!$A:$A,"&lt;="&amp;A938,Transactions!$B:$B,Settings!$B$1))</f>
        <v/>
      </c>
      <c r="F938" s="14" t="str">
        <f aca="false">IF(A938="","",IF(C938="","",D938*B938*C938))</f>
        <v/>
      </c>
      <c r="G938" s="14" t="str">
        <f aca="false">IF(F938="","",F938-E938)</f>
        <v/>
      </c>
      <c r="H938" s="14" t="str">
        <f aca="false">IF(F938="","",IFERROR(F938-F937-(E938-E937),0))</f>
        <v/>
      </c>
    </row>
    <row r="939" customFormat="false" ht="15" hidden="false" customHeight="false" outlineLevel="0" collapsed="false">
      <c r="A939" s="13" t="str">
        <f aca="false">IF(Prices!A939="","",Prices!A939)</f>
        <v/>
      </c>
      <c r="B939" s="14" t="str">
        <f aca="false">IF(A939="","",Prices!C939)</f>
        <v/>
      </c>
      <c r="C939" s="15" t="str">
        <f aca="false">IF(A939="","",IFERROR(INDEX(FX!$B:$B,MATCH(A939,FX!$A:$A,1)),""))</f>
        <v/>
      </c>
      <c r="D939" s="14" t="str">
        <f aca="false">IF(A939="","",SUMIFS(Transactions!$D:$D,Transactions!$A:$A,"&lt;="&amp;A939,Transactions!$B:$B,Settings!$B$1))</f>
        <v/>
      </c>
      <c r="E939" s="14" t="str">
        <f aca="false">IF(A939="","",SUMIFS(Transactions!$C:$C,Transactions!$A:$A,"&lt;="&amp;A939,Transactions!$B:$B,Settings!$B$1)+SUMIFS(Transactions!$F:$F,Transactions!$A:$A,"&lt;="&amp;A939,Transactions!$B:$B,Settings!$B$1))</f>
        <v/>
      </c>
      <c r="F939" s="14" t="str">
        <f aca="false">IF(A939="","",IF(C939="","",D939*B939*C939))</f>
        <v/>
      </c>
      <c r="G939" s="14" t="str">
        <f aca="false">IF(F939="","",F939-E939)</f>
        <v/>
      </c>
      <c r="H939" s="14" t="str">
        <f aca="false">IF(F939="","",IFERROR(F939-F938-(E939-E938),0))</f>
        <v/>
      </c>
    </row>
    <row r="940" customFormat="false" ht="15" hidden="false" customHeight="false" outlineLevel="0" collapsed="false">
      <c r="A940" s="13" t="str">
        <f aca="false">IF(Prices!A940="","",Prices!A940)</f>
        <v/>
      </c>
      <c r="B940" s="14" t="str">
        <f aca="false">IF(A940="","",Prices!C940)</f>
        <v/>
      </c>
      <c r="C940" s="15" t="str">
        <f aca="false">IF(A940="","",IFERROR(INDEX(FX!$B:$B,MATCH(A940,FX!$A:$A,1)),""))</f>
        <v/>
      </c>
      <c r="D940" s="14" t="str">
        <f aca="false">IF(A940="","",SUMIFS(Transactions!$D:$D,Transactions!$A:$A,"&lt;="&amp;A940,Transactions!$B:$B,Settings!$B$1))</f>
        <v/>
      </c>
      <c r="E940" s="14" t="str">
        <f aca="false">IF(A940="","",SUMIFS(Transactions!$C:$C,Transactions!$A:$A,"&lt;="&amp;A940,Transactions!$B:$B,Settings!$B$1)+SUMIFS(Transactions!$F:$F,Transactions!$A:$A,"&lt;="&amp;A940,Transactions!$B:$B,Settings!$B$1))</f>
        <v/>
      </c>
      <c r="F940" s="14" t="str">
        <f aca="false">IF(A940="","",IF(C940="","",D940*B940*C940))</f>
        <v/>
      </c>
      <c r="G940" s="14" t="str">
        <f aca="false">IF(F940="","",F940-E940)</f>
        <v/>
      </c>
      <c r="H940" s="14" t="str">
        <f aca="false">IF(F940="","",IFERROR(F940-F939-(E940-E939),0))</f>
        <v/>
      </c>
    </row>
    <row r="941" customFormat="false" ht="15" hidden="false" customHeight="false" outlineLevel="0" collapsed="false">
      <c r="A941" s="13" t="str">
        <f aca="false">IF(Prices!A941="","",Prices!A941)</f>
        <v/>
      </c>
      <c r="B941" s="14" t="str">
        <f aca="false">IF(A941="","",Prices!C941)</f>
        <v/>
      </c>
      <c r="C941" s="15" t="str">
        <f aca="false">IF(A941="","",IFERROR(INDEX(FX!$B:$B,MATCH(A941,FX!$A:$A,1)),""))</f>
        <v/>
      </c>
      <c r="D941" s="14" t="str">
        <f aca="false">IF(A941="","",SUMIFS(Transactions!$D:$D,Transactions!$A:$A,"&lt;="&amp;A941,Transactions!$B:$B,Settings!$B$1))</f>
        <v/>
      </c>
      <c r="E941" s="14" t="str">
        <f aca="false">IF(A941="","",SUMIFS(Transactions!$C:$C,Transactions!$A:$A,"&lt;="&amp;A941,Transactions!$B:$B,Settings!$B$1)+SUMIFS(Transactions!$F:$F,Transactions!$A:$A,"&lt;="&amp;A941,Transactions!$B:$B,Settings!$B$1))</f>
        <v/>
      </c>
      <c r="F941" s="14" t="str">
        <f aca="false">IF(A941="","",IF(C941="","",D941*B941*C941))</f>
        <v/>
      </c>
      <c r="G941" s="14" t="str">
        <f aca="false">IF(F941="","",F941-E941)</f>
        <v/>
      </c>
      <c r="H941" s="14" t="str">
        <f aca="false">IF(F941="","",IFERROR(F941-F940-(E941-E940),0))</f>
        <v/>
      </c>
    </row>
    <row r="942" customFormat="false" ht="15" hidden="false" customHeight="false" outlineLevel="0" collapsed="false">
      <c r="A942" s="13" t="str">
        <f aca="false">IF(Prices!A942="","",Prices!A942)</f>
        <v/>
      </c>
      <c r="B942" s="14" t="str">
        <f aca="false">IF(A942="","",Prices!C942)</f>
        <v/>
      </c>
      <c r="C942" s="15" t="str">
        <f aca="false">IF(A942="","",IFERROR(INDEX(FX!$B:$B,MATCH(A942,FX!$A:$A,1)),""))</f>
        <v/>
      </c>
      <c r="D942" s="14" t="str">
        <f aca="false">IF(A942="","",SUMIFS(Transactions!$D:$D,Transactions!$A:$A,"&lt;="&amp;A942,Transactions!$B:$B,Settings!$B$1))</f>
        <v/>
      </c>
      <c r="E942" s="14" t="str">
        <f aca="false">IF(A942="","",SUMIFS(Transactions!$C:$C,Transactions!$A:$A,"&lt;="&amp;A942,Transactions!$B:$B,Settings!$B$1)+SUMIFS(Transactions!$F:$F,Transactions!$A:$A,"&lt;="&amp;A942,Transactions!$B:$B,Settings!$B$1))</f>
        <v/>
      </c>
      <c r="F942" s="14" t="str">
        <f aca="false">IF(A942="","",IF(C942="","",D942*B942*C942))</f>
        <v/>
      </c>
      <c r="G942" s="14" t="str">
        <f aca="false">IF(F942="","",F942-E942)</f>
        <v/>
      </c>
      <c r="H942" s="14" t="str">
        <f aca="false">IF(F942="","",IFERROR(F942-F941-(E942-E941),0))</f>
        <v/>
      </c>
    </row>
    <row r="943" customFormat="false" ht="15" hidden="false" customHeight="false" outlineLevel="0" collapsed="false">
      <c r="A943" s="13" t="str">
        <f aca="false">IF(Prices!A943="","",Prices!A943)</f>
        <v/>
      </c>
      <c r="B943" s="14" t="str">
        <f aca="false">IF(A943="","",Prices!C943)</f>
        <v/>
      </c>
      <c r="C943" s="15" t="str">
        <f aca="false">IF(A943="","",IFERROR(INDEX(FX!$B:$B,MATCH(A943,FX!$A:$A,1)),""))</f>
        <v/>
      </c>
      <c r="D943" s="14" t="str">
        <f aca="false">IF(A943="","",SUMIFS(Transactions!$D:$D,Transactions!$A:$A,"&lt;="&amp;A943,Transactions!$B:$B,Settings!$B$1))</f>
        <v/>
      </c>
      <c r="E943" s="14" t="str">
        <f aca="false">IF(A943="","",SUMIFS(Transactions!$C:$C,Transactions!$A:$A,"&lt;="&amp;A943,Transactions!$B:$B,Settings!$B$1)+SUMIFS(Transactions!$F:$F,Transactions!$A:$A,"&lt;="&amp;A943,Transactions!$B:$B,Settings!$B$1))</f>
        <v/>
      </c>
      <c r="F943" s="14" t="str">
        <f aca="false">IF(A943="","",IF(C943="","",D943*B943*C943))</f>
        <v/>
      </c>
      <c r="G943" s="14" t="str">
        <f aca="false">IF(F943="","",F943-E943)</f>
        <v/>
      </c>
      <c r="H943" s="14" t="str">
        <f aca="false">IF(F943="","",IFERROR(F943-F942-(E943-E942),0))</f>
        <v/>
      </c>
    </row>
    <row r="944" customFormat="false" ht="15" hidden="false" customHeight="false" outlineLevel="0" collapsed="false">
      <c r="A944" s="13" t="str">
        <f aca="false">IF(Prices!A944="","",Prices!A944)</f>
        <v/>
      </c>
      <c r="B944" s="14" t="str">
        <f aca="false">IF(A944="","",Prices!C944)</f>
        <v/>
      </c>
      <c r="C944" s="15" t="str">
        <f aca="false">IF(A944="","",IFERROR(INDEX(FX!$B:$B,MATCH(A944,FX!$A:$A,1)),""))</f>
        <v/>
      </c>
      <c r="D944" s="14" t="str">
        <f aca="false">IF(A944="","",SUMIFS(Transactions!$D:$D,Transactions!$A:$A,"&lt;="&amp;A944,Transactions!$B:$B,Settings!$B$1))</f>
        <v/>
      </c>
      <c r="E944" s="14" t="str">
        <f aca="false">IF(A944="","",SUMIFS(Transactions!$C:$C,Transactions!$A:$A,"&lt;="&amp;A944,Transactions!$B:$B,Settings!$B$1)+SUMIFS(Transactions!$F:$F,Transactions!$A:$A,"&lt;="&amp;A944,Transactions!$B:$B,Settings!$B$1))</f>
        <v/>
      </c>
      <c r="F944" s="14" t="str">
        <f aca="false">IF(A944="","",IF(C944="","",D944*B944*C944))</f>
        <v/>
      </c>
      <c r="G944" s="14" t="str">
        <f aca="false">IF(F944="","",F944-E944)</f>
        <v/>
      </c>
      <c r="H944" s="14" t="str">
        <f aca="false">IF(F944="","",IFERROR(F944-F943-(E944-E943),0))</f>
        <v/>
      </c>
    </row>
    <row r="945" customFormat="false" ht="15" hidden="false" customHeight="false" outlineLevel="0" collapsed="false">
      <c r="A945" s="13" t="str">
        <f aca="false">IF(Prices!A945="","",Prices!A945)</f>
        <v/>
      </c>
      <c r="B945" s="14" t="str">
        <f aca="false">IF(A945="","",Prices!C945)</f>
        <v/>
      </c>
      <c r="C945" s="15" t="str">
        <f aca="false">IF(A945="","",IFERROR(INDEX(FX!$B:$B,MATCH(A945,FX!$A:$A,1)),""))</f>
        <v/>
      </c>
      <c r="D945" s="14" t="str">
        <f aca="false">IF(A945="","",SUMIFS(Transactions!$D:$D,Transactions!$A:$A,"&lt;="&amp;A945,Transactions!$B:$B,Settings!$B$1))</f>
        <v/>
      </c>
      <c r="E945" s="14" t="str">
        <f aca="false">IF(A945="","",SUMIFS(Transactions!$C:$C,Transactions!$A:$A,"&lt;="&amp;A945,Transactions!$B:$B,Settings!$B$1)+SUMIFS(Transactions!$F:$F,Transactions!$A:$A,"&lt;="&amp;A945,Transactions!$B:$B,Settings!$B$1))</f>
        <v/>
      </c>
      <c r="F945" s="14" t="str">
        <f aca="false">IF(A945="","",IF(C945="","",D945*B945*C945))</f>
        <v/>
      </c>
      <c r="G945" s="14" t="str">
        <f aca="false">IF(F945="","",F945-E945)</f>
        <v/>
      </c>
      <c r="H945" s="14" t="str">
        <f aca="false">IF(F945="","",IFERROR(F945-F944-(E945-E944),0))</f>
        <v/>
      </c>
    </row>
    <row r="946" customFormat="false" ht="15" hidden="false" customHeight="false" outlineLevel="0" collapsed="false">
      <c r="A946" s="13" t="str">
        <f aca="false">IF(Prices!A946="","",Prices!A946)</f>
        <v/>
      </c>
      <c r="B946" s="14" t="str">
        <f aca="false">IF(A946="","",Prices!C946)</f>
        <v/>
      </c>
      <c r="C946" s="15" t="str">
        <f aca="false">IF(A946="","",IFERROR(INDEX(FX!$B:$B,MATCH(A946,FX!$A:$A,1)),""))</f>
        <v/>
      </c>
      <c r="D946" s="14" t="str">
        <f aca="false">IF(A946="","",SUMIFS(Transactions!$D:$D,Transactions!$A:$A,"&lt;="&amp;A946,Transactions!$B:$B,Settings!$B$1))</f>
        <v/>
      </c>
      <c r="E946" s="14" t="str">
        <f aca="false">IF(A946="","",SUMIFS(Transactions!$C:$C,Transactions!$A:$A,"&lt;="&amp;A946,Transactions!$B:$B,Settings!$B$1)+SUMIFS(Transactions!$F:$F,Transactions!$A:$A,"&lt;="&amp;A946,Transactions!$B:$B,Settings!$B$1))</f>
        <v/>
      </c>
      <c r="F946" s="14" t="str">
        <f aca="false">IF(A946="","",IF(C946="","",D946*B946*C946))</f>
        <v/>
      </c>
      <c r="G946" s="14" t="str">
        <f aca="false">IF(F946="","",F946-E946)</f>
        <v/>
      </c>
      <c r="H946" s="14" t="str">
        <f aca="false">IF(F946="","",IFERROR(F946-F945-(E946-E945),0))</f>
        <v/>
      </c>
    </row>
    <row r="947" customFormat="false" ht="15" hidden="false" customHeight="false" outlineLevel="0" collapsed="false">
      <c r="A947" s="13" t="str">
        <f aca="false">IF(Prices!A947="","",Prices!A947)</f>
        <v/>
      </c>
      <c r="B947" s="14" t="str">
        <f aca="false">IF(A947="","",Prices!C947)</f>
        <v/>
      </c>
      <c r="C947" s="15" t="str">
        <f aca="false">IF(A947="","",IFERROR(INDEX(FX!$B:$B,MATCH(A947,FX!$A:$A,1)),""))</f>
        <v/>
      </c>
      <c r="D947" s="14" t="str">
        <f aca="false">IF(A947="","",SUMIFS(Transactions!$D:$D,Transactions!$A:$A,"&lt;="&amp;A947,Transactions!$B:$B,Settings!$B$1))</f>
        <v/>
      </c>
      <c r="E947" s="14" t="str">
        <f aca="false">IF(A947="","",SUMIFS(Transactions!$C:$C,Transactions!$A:$A,"&lt;="&amp;A947,Transactions!$B:$B,Settings!$B$1)+SUMIFS(Transactions!$F:$F,Transactions!$A:$A,"&lt;="&amp;A947,Transactions!$B:$B,Settings!$B$1))</f>
        <v/>
      </c>
      <c r="F947" s="14" t="str">
        <f aca="false">IF(A947="","",IF(C947="","",D947*B947*C947))</f>
        <v/>
      </c>
      <c r="G947" s="14" t="str">
        <f aca="false">IF(F947="","",F947-E947)</f>
        <v/>
      </c>
      <c r="H947" s="14" t="str">
        <f aca="false">IF(F947="","",IFERROR(F947-F946-(E947-E946),0))</f>
        <v/>
      </c>
    </row>
    <row r="948" customFormat="false" ht="15" hidden="false" customHeight="false" outlineLevel="0" collapsed="false">
      <c r="A948" s="13" t="str">
        <f aca="false">IF(Prices!A948="","",Prices!A948)</f>
        <v/>
      </c>
      <c r="B948" s="14" t="str">
        <f aca="false">IF(A948="","",Prices!C948)</f>
        <v/>
      </c>
      <c r="C948" s="15" t="str">
        <f aca="false">IF(A948="","",IFERROR(INDEX(FX!$B:$B,MATCH(A948,FX!$A:$A,1)),""))</f>
        <v/>
      </c>
      <c r="D948" s="14" t="str">
        <f aca="false">IF(A948="","",SUMIFS(Transactions!$D:$D,Transactions!$A:$A,"&lt;="&amp;A948,Transactions!$B:$B,Settings!$B$1))</f>
        <v/>
      </c>
      <c r="E948" s="14" t="str">
        <f aca="false">IF(A948="","",SUMIFS(Transactions!$C:$C,Transactions!$A:$A,"&lt;="&amp;A948,Transactions!$B:$B,Settings!$B$1)+SUMIFS(Transactions!$F:$F,Transactions!$A:$A,"&lt;="&amp;A948,Transactions!$B:$B,Settings!$B$1))</f>
        <v/>
      </c>
      <c r="F948" s="14" t="str">
        <f aca="false">IF(A948="","",IF(C948="","",D948*B948*C948))</f>
        <v/>
      </c>
      <c r="G948" s="14" t="str">
        <f aca="false">IF(F948="","",F948-E948)</f>
        <v/>
      </c>
      <c r="H948" s="14" t="str">
        <f aca="false">IF(F948="","",IFERROR(F948-F947-(E948-E947),0))</f>
        <v/>
      </c>
    </row>
    <row r="949" customFormat="false" ht="15" hidden="false" customHeight="false" outlineLevel="0" collapsed="false">
      <c r="A949" s="13" t="str">
        <f aca="false">IF(Prices!A949="","",Prices!A949)</f>
        <v/>
      </c>
      <c r="B949" s="14" t="str">
        <f aca="false">IF(A949="","",Prices!C949)</f>
        <v/>
      </c>
      <c r="C949" s="15" t="str">
        <f aca="false">IF(A949="","",IFERROR(INDEX(FX!$B:$B,MATCH(A949,FX!$A:$A,1)),""))</f>
        <v/>
      </c>
      <c r="D949" s="14" t="str">
        <f aca="false">IF(A949="","",SUMIFS(Transactions!$D:$D,Transactions!$A:$A,"&lt;="&amp;A949,Transactions!$B:$B,Settings!$B$1))</f>
        <v/>
      </c>
      <c r="E949" s="14" t="str">
        <f aca="false">IF(A949="","",SUMIFS(Transactions!$C:$C,Transactions!$A:$A,"&lt;="&amp;A949,Transactions!$B:$B,Settings!$B$1)+SUMIFS(Transactions!$F:$F,Transactions!$A:$A,"&lt;="&amp;A949,Transactions!$B:$B,Settings!$B$1))</f>
        <v/>
      </c>
      <c r="F949" s="14" t="str">
        <f aca="false">IF(A949="","",IF(C949="","",D949*B949*C949))</f>
        <v/>
      </c>
      <c r="G949" s="14" t="str">
        <f aca="false">IF(F949="","",F949-E949)</f>
        <v/>
      </c>
      <c r="H949" s="14" t="str">
        <f aca="false">IF(F949="","",IFERROR(F949-F948-(E949-E948),0))</f>
        <v/>
      </c>
    </row>
    <row r="950" customFormat="false" ht="15" hidden="false" customHeight="false" outlineLevel="0" collapsed="false">
      <c r="A950" s="13" t="str">
        <f aca="false">IF(Prices!A950="","",Prices!A950)</f>
        <v/>
      </c>
      <c r="B950" s="14" t="str">
        <f aca="false">IF(A950="","",Prices!C950)</f>
        <v/>
      </c>
      <c r="C950" s="15" t="str">
        <f aca="false">IF(A950="","",IFERROR(INDEX(FX!$B:$B,MATCH(A950,FX!$A:$A,1)),""))</f>
        <v/>
      </c>
      <c r="D950" s="14" t="str">
        <f aca="false">IF(A950="","",SUMIFS(Transactions!$D:$D,Transactions!$A:$A,"&lt;="&amp;A950,Transactions!$B:$B,Settings!$B$1))</f>
        <v/>
      </c>
      <c r="E950" s="14" t="str">
        <f aca="false">IF(A950="","",SUMIFS(Transactions!$C:$C,Transactions!$A:$A,"&lt;="&amp;A950,Transactions!$B:$B,Settings!$B$1)+SUMIFS(Transactions!$F:$F,Transactions!$A:$A,"&lt;="&amp;A950,Transactions!$B:$B,Settings!$B$1))</f>
        <v/>
      </c>
      <c r="F950" s="14" t="str">
        <f aca="false">IF(A950="","",IF(C950="","",D950*B950*C950))</f>
        <v/>
      </c>
      <c r="G950" s="14" t="str">
        <f aca="false">IF(F950="","",F950-E950)</f>
        <v/>
      </c>
      <c r="H950" s="14" t="str">
        <f aca="false">IF(F950="","",IFERROR(F950-F949-(E950-E949),0))</f>
        <v/>
      </c>
    </row>
    <row r="951" customFormat="false" ht="15" hidden="false" customHeight="false" outlineLevel="0" collapsed="false">
      <c r="A951" s="13" t="str">
        <f aca="false">IF(Prices!A951="","",Prices!A951)</f>
        <v/>
      </c>
      <c r="B951" s="14" t="str">
        <f aca="false">IF(A951="","",Prices!C951)</f>
        <v/>
      </c>
      <c r="C951" s="15" t="str">
        <f aca="false">IF(A951="","",IFERROR(INDEX(FX!$B:$B,MATCH(A951,FX!$A:$A,1)),""))</f>
        <v/>
      </c>
      <c r="D951" s="14" t="str">
        <f aca="false">IF(A951="","",SUMIFS(Transactions!$D:$D,Transactions!$A:$A,"&lt;="&amp;A951,Transactions!$B:$B,Settings!$B$1))</f>
        <v/>
      </c>
      <c r="E951" s="14" t="str">
        <f aca="false">IF(A951="","",SUMIFS(Transactions!$C:$C,Transactions!$A:$A,"&lt;="&amp;A951,Transactions!$B:$B,Settings!$B$1)+SUMIFS(Transactions!$F:$F,Transactions!$A:$A,"&lt;="&amp;A951,Transactions!$B:$B,Settings!$B$1))</f>
        <v/>
      </c>
      <c r="F951" s="14" t="str">
        <f aca="false">IF(A951="","",IF(C951="","",D951*B951*C951))</f>
        <v/>
      </c>
      <c r="G951" s="14" t="str">
        <f aca="false">IF(F951="","",F951-E951)</f>
        <v/>
      </c>
      <c r="H951" s="14" t="str">
        <f aca="false">IF(F951="","",IFERROR(F951-F950-(E951-E950),0))</f>
        <v/>
      </c>
    </row>
    <row r="952" customFormat="false" ht="15" hidden="false" customHeight="false" outlineLevel="0" collapsed="false">
      <c r="A952" s="13" t="str">
        <f aca="false">IF(Prices!A952="","",Prices!A952)</f>
        <v/>
      </c>
      <c r="B952" s="14" t="str">
        <f aca="false">IF(A952="","",Prices!C952)</f>
        <v/>
      </c>
      <c r="C952" s="15" t="str">
        <f aca="false">IF(A952="","",IFERROR(INDEX(FX!$B:$B,MATCH(A952,FX!$A:$A,1)),""))</f>
        <v/>
      </c>
      <c r="D952" s="14" t="str">
        <f aca="false">IF(A952="","",SUMIFS(Transactions!$D:$D,Transactions!$A:$A,"&lt;="&amp;A952,Transactions!$B:$B,Settings!$B$1))</f>
        <v/>
      </c>
      <c r="E952" s="14" t="str">
        <f aca="false">IF(A952="","",SUMIFS(Transactions!$C:$C,Transactions!$A:$A,"&lt;="&amp;A952,Transactions!$B:$B,Settings!$B$1)+SUMIFS(Transactions!$F:$F,Transactions!$A:$A,"&lt;="&amp;A952,Transactions!$B:$B,Settings!$B$1))</f>
        <v/>
      </c>
      <c r="F952" s="14" t="str">
        <f aca="false">IF(A952="","",IF(C952="","",D952*B952*C952))</f>
        <v/>
      </c>
      <c r="G952" s="14" t="str">
        <f aca="false">IF(F952="","",F952-E952)</f>
        <v/>
      </c>
      <c r="H952" s="14" t="str">
        <f aca="false">IF(F952="","",IFERROR(F952-F951-(E952-E951),0))</f>
        <v/>
      </c>
    </row>
    <row r="953" customFormat="false" ht="15" hidden="false" customHeight="false" outlineLevel="0" collapsed="false">
      <c r="A953" s="13" t="str">
        <f aca="false">IF(Prices!A953="","",Prices!A953)</f>
        <v/>
      </c>
      <c r="B953" s="14" t="str">
        <f aca="false">IF(A953="","",Prices!C953)</f>
        <v/>
      </c>
      <c r="C953" s="15" t="str">
        <f aca="false">IF(A953="","",IFERROR(INDEX(FX!$B:$B,MATCH(A953,FX!$A:$A,1)),""))</f>
        <v/>
      </c>
      <c r="D953" s="14" t="str">
        <f aca="false">IF(A953="","",SUMIFS(Transactions!$D:$D,Transactions!$A:$A,"&lt;="&amp;A953,Transactions!$B:$B,Settings!$B$1))</f>
        <v/>
      </c>
      <c r="E953" s="14" t="str">
        <f aca="false">IF(A953="","",SUMIFS(Transactions!$C:$C,Transactions!$A:$A,"&lt;="&amp;A953,Transactions!$B:$B,Settings!$B$1)+SUMIFS(Transactions!$F:$F,Transactions!$A:$A,"&lt;="&amp;A953,Transactions!$B:$B,Settings!$B$1))</f>
        <v/>
      </c>
      <c r="F953" s="14" t="str">
        <f aca="false">IF(A953="","",IF(C953="","",D953*B953*C953))</f>
        <v/>
      </c>
      <c r="G953" s="14" t="str">
        <f aca="false">IF(F953="","",F953-E953)</f>
        <v/>
      </c>
      <c r="H953" s="14" t="str">
        <f aca="false">IF(F953="","",IFERROR(F953-F952-(E953-E952),0))</f>
        <v/>
      </c>
    </row>
    <row r="954" customFormat="false" ht="15" hidden="false" customHeight="false" outlineLevel="0" collapsed="false">
      <c r="A954" s="13" t="str">
        <f aca="false">IF(Prices!A954="","",Prices!A954)</f>
        <v/>
      </c>
      <c r="B954" s="14" t="str">
        <f aca="false">IF(A954="","",Prices!C954)</f>
        <v/>
      </c>
      <c r="C954" s="15" t="str">
        <f aca="false">IF(A954="","",IFERROR(INDEX(FX!$B:$B,MATCH(A954,FX!$A:$A,1)),""))</f>
        <v/>
      </c>
      <c r="D954" s="14" t="str">
        <f aca="false">IF(A954="","",SUMIFS(Transactions!$D:$D,Transactions!$A:$A,"&lt;="&amp;A954,Transactions!$B:$B,Settings!$B$1))</f>
        <v/>
      </c>
      <c r="E954" s="14" t="str">
        <f aca="false">IF(A954="","",SUMIFS(Transactions!$C:$C,Transactions!$A:$A,"&lt;="&amp;A954,Transactions!$B:$B,Settings!$B$1)+SUMIFS(Transactions!$F:$F,Transactions!$A:$A,"&lt;="&amp;A954,Transactions!$B:$B,Settings!$B$1))</f>
        <v/>
      </c>
      <c r="F954" s="14" t="str">
        <f aca="false">IF(A954="","",IF(C954="","",D954*B954*C954))</f>
        <v/>
      </c>
      <c r="G954" s="14" t="str">
        <f aca="false">IF(F954="","",F954-E954)</f>
        <v/>
      </c>
      <c r="H954" s="14" t="str">
        <f aca="false">IF(F954="","",IFERROR(F954-F953-(E954-E953),0))</f>
        <v/>
      </c>
    </row>
    <row r="955" customFormat="false" ht="15" hidden="false" customHeight="false" outlineLevel="0" collapsed="false">
      <c r="A955" s="13" t="str">
        <f aca="false">IF(Prices!A955="","",Prices!A955)</f>
        <v/>
      </c>
      <c r="B955" s="14" t="str">
        <f aca="false">IF(A955="","",Prices!C955)</f>
        <v/>
      </c>
      <c r="C955" s="15" t="str">
        <f aca="false">IF(A955="","",IFERROR(INDEX(FX!$B:$B,MATCH(A955,FX!$A:$A,1)),""))</f>
        <v/>
      </c>
      <c r="D955" s="14" t="str">
        <f aca="false">IF(A955="","",SUMIFS(Transactions!$D:$D,Transactions!$A:$A,"&lt;="&amp;A955,Transactions!$B:$B,Settings!$B$1))</f>
        <v/>
      </c>
      <c r="E955" s="14" t="str">
        <f aca="false">IF(A955="","",SUMIFS(Transactions!$C:$C,Transactions!$A:$A,"&lt;="&amp;A955,Transactions!$B:$B,Settings!$B$1)+SUMIFS(Transactions!$F:$F,Transactions!$A:$A,"&lt;="&amp;A955,Transactions!$B:$B,Settings!$B$1))</f>
        <v/>
      </c>
      <c r="F955" s="14" t="str">
        <f aca="false">IF(A955="","",IF(C955="","",D955*B955*C955))</f>
        <v/>
      </c>
      <c r="G955" s="14" t="str">
        <f aca="false">IF(F955="","",F955-E955)</f>
        <v/>
      </c>
      <c r="H955" s="14" t="str">
        <f aca="false">IF(F955="","",IFERROR(F955-F954-(E955-E954),0))</f>
        <v/>
      </c>
    </row>
    <row r="956" customFormat="false" ht="15" hidden="false" customHeight="false" outlineLevel="0" collapsed="false">
      <c r="A956" s="13" t="str">
        <f aca="false">IF(Prices!A956="","",Prices!A956)</f>
        <v/>
      </c>
      <c r="B956" s="14" t="str">
        <f aca="false">IF(A956="","",Prices!C956)</f>
        <v/>
      </c>
      <c r="C956" s="15" t="str">
        <f aca="false">IF(A956="","",IFERROR(INDEX(FX!$B:$B,MATCH(A956,FX!$A:$A,1)),""))</f>
        <v/>
      </c>
      <c r="D956" s="14" t="str">
        <f aca="false">IF(A956="","",SUMIFS(Transactions!$D:$D,Transactions!$A:$A,"&lt;="&amp;A956,Transactions!$B:$B,Settings!$B$1))</f>
        <v/>
      </c>
      <c r="E956" s="14" t="str">
        <f aca="false">IF(A956="","",SUMIFS(Transactions!$C:$C,Transactions!$A:$A,"&lt;="&amp;A956,Transactions!$B:$B,Settings!$B$1)+SUMIFS(Transactions!$F:$F,Transactions!$A:$A,"&lt;="&amp;A956,Transactions!$B:$B,Settings!$B$1))</f>
        <v/>
      </c>
      <c r="F956" s="14" t="str">
        <f aca="false">IF(A956="","",IF(C956="","",D956*B956*C956))</f>
        <v/>
      </c>
      <c r="G956" s="14" t="str">
        <f aca="false">IF(F956="","",F956-E956)</f>
        <v/>
      </c>
      <c r="H956" s="14" t="str">
        <f aca="false">IF(F956="","",IFERROR(F956-F955-(E956-E955),0))</f>
        <v/>
      </c>
    </row>
    <row r="957" customFormat="false" ht="15" hidden="false" customHeight="false" outlineLevel="0" collapsed="false">
      <c r="A957" s="13" t="str">
        <f aca="false">IF(Prices!A957="","",Prices!A957)</f>
        <v/>
      </c>
      <c r="B957" s="14" t="str">
        <f aca="false">IF(A957="","",Prices!C957)</f>
        <v/>
      </c>
      <c r="C957" s="15" t="str">
        <f aca="false">IF(A957="","",IFERROR(INDEX(FX!$B:$B,MATCH(A957,FX!$A:$A,1)),""))</f>
        <v/>
      </c>
      <c r="D957" s="14" t="str">
        <f aca="false">IF(A957="","",SUMIFS(Transactions!$D:$D,Transactions!$A:$A,"&lt;="&amp;A957,Transactions!$B:$B,Settings!$B$1))</f>
        <v/>
      </c>
      <c r="E957" s="14" t="str">
        <f aca="false">IF(A957="","",SUMIFS(Transactions!$C:$C,Transactions!$A:$A,"&lt;="&amp;A957,Transactions!$B:$B,Settings!$B$1)+SUMIFS(Transactions!$F:$F,Transactions!$A:$A,"&lt;="&amp;A957,Transactions!$B:$B,Settings!$B$1))</f>
        <v/>
      </c>
      <c r="F957" s="14" t="str">
        <f aca="false">IF(A957="","",IF(C957="","",D957*B957*C957))</f>
        <v/>
      </c>
      <c r="G957" s="14" t="str">
        <f aca="false">IF(F957="","",F957-E957)</f>
        <v/>
      </c>
      <c r="H957" s="14" t="str">
        <f aca="false">IF(F957="","",IFERROR(F957-F956-(E957-E956),0))</f>
        <v/>
      </c>
    </row>
    <row r="958" customFormat="false" ht="15" hidden="false" customHeight="false" outlineLevel="0" collapsed="false">
      <c r="A958" s="13" t="str">
        <f aca="false">IF(Prices!A958="","",Prices!A958)</f>
        <v/>
      </c>
      <c r="B958" s="14" t="str">
        <f aca="false">IF(A958="","",Prices!C958)</f>
        <v/>
      </c>
      <c r="C958" s="15" t="str">
        <f aca="false">IF(A958="","",IFERROR(INDEX(FX!$B:$B,MATCH(A958,FX!$A:$A,1)),""))</f>
        <v/>
      </c>
      <c r="D958" s="14" t="str">
        <f aca="false">IF(A958="","",SUMIFS(Transactions!$D:$D,Transactions!$A:$A,"&lt;="&amp;A958,Transactions!$B:$B,Settings!$B$1))</f>
        <v/>
      </c>
      <c r="E958" s="14" t="str">
        <f aca="false">IF(A958="","",SUMIFS(Transactions!$C:$C,Transactions!$A:$A,"&lt;="&amp;A958,Transactions!$B:$B,Settings!$B$1)+SUMIFS(Transactions!$F:$F,Transactions!$A:$A,"&lt;="&amp;A958,Transactions!$B:$B,Settings!$B$1))</f>
        <v/>
      </c>
      <c r="F958" s="14" t="str">
        <f aca="false">IF(A958="","",IF(C958="","",D958*B958*C958))</f>
        <v/>
      </c>
      <c r="G958" s="14" t="str">
        <f aca="false">IF(F958="","",F958-E958)</f>
        <v/>
      </c>
      <c r="H958" s="14" t="str">
        <f aca="false">IF(F958="","",IFERROR(F958-F957-(E958-E957),0))</f>
        <v/>
      </c>
    </row>
    <row r="959" customFormat="false" ht="15" hidden="false" customHeight="false" outlineLevel="0" collapsed="false">
      <c r="A959" s="13" t="str">
        <f aca="false">IF(Prices!A959="","",Prices!A959)</f>
        <v/>
      </c>
      <c r="B959" s="14" t="str">
        <f aca="false">IF(A959="","",Prices!C959)</f>
        <v/>
      </c>
      <c r="C959" s="15" t="str">
        <f aca="false">IF(A959="","",IFERROR(INDEX(FX!$B:$B,MATCH(A959,FX!$A:$A,1)),""))</f>
        <v/>
      </c>
      <c r="D959" s="14" t="str">
        <f aca="false">IF(A959="","",SUMIFS(Transactions!$D:$D,Transactions!$A:$A,"&lt;="&amp;A959,Transactions!$B:$B,Settings!$B$1))</f>
        <v/>
      </c>
      <c r="E959" s="14" t="str">
        <f aca="false">IF(A959="","",SUMIFS(Transactions!$C:$C,Transactions!$A:$A,"&lt;="&amp;A959,Transactions!$B:$B,Settings!$B$1)+SUMIFS(Transactions!$F:$F,Transactions!$A:$A,"&lt;="&amp;A959,Transactions!$B:$B,Settings!$B$1))</f>
        <v/>
      </c>
      <c r="F959" s="14" t="str">
        <f aca="false">IF(A959="","",IF(C959="","",D959*B959*C959))</f>
        <v/>
      </c>
      <c r="G959" s="14" t="str">
        <f aca="false">IF(F959="","",F959-E959)</f>
        <v/>
      </c>
      <c r="H959" s="14" t="str">
        <f aca="false">IF(F959="","",IFERROR(F959-F958-(E959-E958),0))</f>
        <v/>
      </c>
    </row>
    <row r="960" customFormat="false" ht="15" hidden="false" customHeight="false" outlineLevel="0" collapsed="false">
      <c r="A960" s="13" t="str">
        <f aca="false">IF(Prices!A960="","",Prices!A960)</f>
        <v/>
      </c>
      <c r="B960" s="14" t="str">
        <f aca="false">IF(A960="","",Prices!C960)</f>
        <v/>
      </c>
      <c r="C960" s="15" t="str">
        <f aca="false">IF(A960="","",IFERROR(INDEX(FX!$B:$B,MATCH(A960,FX!$A:$A,1)),""))</f>
        <v/>
      </c>
      <c r="D960" s="14" t="str">
        <f aca="false">IF(A960="","",SUMIFS(Transactions!$D:$D,Transactions!$A:$A,"&lt;="&amp;A960,Transactions!$B:$B,Settings!$B$1))</f>
        <v/>
      </c>
      <c r="E960" s="14" t="str">
        <f aca="false">IF(A960="","",SUMIFS(Transactions!$C:$C,Transactions!$A:$A,"&lt;="&amp;A960,Transactions!$B:$B,Settings!$B$1)+SUMIFS(Transactions!$F:$F,Transactions!$A:$A,"&lt;="&amp;A960,Transactions!$B:$B,Settings!$B$1))</f>
        <v/>
      </c>
      <c r="F960" s="14" t="str">
        <f aca="false">IF(A960="","",IF(C960="","",D960*B960*C960))</f>
        <v/>
      </c>
      <c r="G960" s="14" t="str">
        <f aca="false">IF(F960="","",F960-E960)</f>
        <v/>
      </c>
      <c r="H960" s="14" t="str">
        <f aca="false">IF(F960="","",IFERROR(F960-F959-(E960-E959),0))</f>
        <v/>
      </c>
    </row>
    <row r="961" customFormat="false" ht="15" hidden="false" customHeight="false" outlineLevel="0" collapsed="false">
      <c r="A961" s="13" t="str">
        <f aca="false">IF(Prices!A961="","",Prices!A961)</f>
        <v/>
      </c>
      <c r="B961" s="14" t="str">
        <f aca="false">IF(A961="","",Prices!C961)</f>
        <v/>
      </c>
      <c r="C961" s="15" t="str">
        <f aca="false">IF(A961="","",IFERROR(INDEX(FX!$B:$B,MATCH(A961,FX!$A:$A,1)),""))</f>
        <v/>
      </c>
      <c r="D961" s="14" t="str">
        <f aca="false">IF(A961="","",SUMIFS(Transactions!$D:$D,Transactions!$A:$A,"&lt;="&amp;A961,Transactions!$B:$B,Settings!$B$1))</f>
        <v/>
      </c>
      <c r="E961" s="14" t="str">
        <f aca="false">IF(A961="","",SUMIFS(Transactions!$C:$C,Transactions!$A:$A,"&lt;="&amp;A961,Transactions!$B:$B,Settings!$B$1)+SUMIFS(Transactions!$F:$F,Transactions!$A:$A,"&lt;="&amp;A961,Transactions!$B:$B,Settings!$B$1))</f>
        <v/>
      </c>
      <c r="F961" s="14" t="str">
        <f aca="false">IF(A961="","",IF(C961="","",D961*B961*C961))</f>
        <v/>
      </c>
      <c r="G961" s="14" t="str">
        <f aca="false">IF(F961="","",F961-E961)</f>
        <v/>
      </c>
      <c r="H961" s="14" t="str">
        <f aca="false">IF(F961="","",IFERROR(F961-F960-(E961-E960),0))</f>
        <v/>
      </c>
    </row>
    <row r="962" customFormat="false" ht="15" hidden="false" customHeight="false" outlineLevel="0" collapsed="false">
      <c r="A962" s="13" t="str">
        <f aca="false">IF(Prices!A962="","",Prices!A962)</f>
        <v/>
      </c>
      <c r="B962" s="14" t="str">
        <f aca="false">IF(A962="","",Prices!C962)</f>
        <v/>
      </c>
      <c r="C962" s="15" t="str">
        <f aca="false">IF(A962="","",IFERROR(INDEX(FX!$B:$B,MATCH(A962,FX!$A:$A,1)),""))</f>
        <v/>
      </c>
      <c r="D962" s="14" t="str">
        <f aca="false">IF(A962="","",SUMIFS(Transactions!$D:$D,Transactions!$A:$A,"&lt;="&amp;A962,Transactions!$B:$B,Settings!$B$1))</f>
        <v/>
      </c>
      <c r="E962" s="14" t="str">
        <f aca="false">IF(A962="","",SUMIFS(Transactions!$C:$C,Transactions!$A:$A,"&lt;="&amp;A962,Transactions!$B:$B,Settings!$B$1)+SUMIFS(Transactions!$F:$F,Transactions!$A:$A,"&lt;="&amp;A962,Transactions!$B:$B,Settings!$B$1))</f>
        <v/>
      </c>
      <c r="F962" s="14" t="str">
        <f aca="false">IF(A962="","",IF(C962="","",D962*B962*C962))</f>
        <v/>
      </c>
      <c r="G962" s="14" t="str">
        <f aca="false">IF(F962="","",F962-E962)</f>
        <v/>
      </c>
      <c r="H962" s="14" t="str">
        <f aca="false">IF(F962="","",IFERROR(F962-F961-(E962-E961),0))</f>
        <v/>
      </c>
    </row>
    <row r="963" customFormat="false" ht="15" hidden="false" customHeight="false" outlineLevel="0" collapsed="false">
      <c r="A963" s="13" t="str">
        <f aca="false">IF(Prices!A963="","",Prices!A963)</f>
        <v/>
      </c>
      <c r="B963" s="14" t="str">
        <f aca="false">IF(A963="","",Prices!C963)</f>
        <v/>
      </c>
      <c r="C963" s="15" t="str">
        <f aca="false">IF(A963="","",IFERROR(INDEX(FX!$B:$B,MATCH(A963,FX!$A:$A,1)),""))</f>
        <v/>
      </c>
      <c r="D963" s="14" t="str">
        <f aca="false">IF(A963="","",SUMIFS(Transactions!$D:$D,Transactions!$A:$A,"&lt;="&amp;A963,Transactions!$B:$B,Settings!$B$1))</f>
        <v/>
      </c>
      <c r="E963" s="14" t="str">
        <f aca="false">IF(A963="","",SUMIFS(Transactions!$C:$C,Transactions!$A:$A,"&lt;="&amp;A963,Transactions!$B:$B,Settings!$B$1)+SUMIFS(Transactions!$F:$F,Transactions!$A:$A,"&lt;="&amp;A963,Transactions!$B:$B,Settings!$B$1))</f>
        <v/>
      </c>
      <c r="F963" s="14" t="str">
        <f aca="false">IF(A963="","",IF(C963="","",D963*B963*C963))</f>
        <v/>
      </c>
      <c r="G963" s="14" t="str">
        <f aca="false">IF(F963="","",F963-E963)</f>
        <v/>
      </c>
      <c r="H963" s="14" t="str">
        <f aca="false">IF(F963="","",IFERROR(F963-F962-(E963-E962),0))</f>
        <v/>
      </c>
    </row>
    <row r="964" customFormat="false" ht="15" hidden="false" customHeight="false" outlineLevel="0" collapsed="false">
      <c r="A964" s="13" t="str">
        <f aca="false">IF(Prices!A964="","",Prices!A964)</f>
        <v/>
      </c>
      <c r="B964" s="14" t="str">
        <f aca="false">IF(A964="","",Prices!C964)</f>
        <v/>
      </c>
      <c r="C964" s="15" t="str">
        <f aca="false">IF(A964="","",IFERROR(INDEX(FX!$B:$B,MATCH(A964,FX!$A:$A,1)),""))</f>
        <v/>
      </c>
      <c r="D964" s="14" t="str">
        <f aca="false">IF(A964="","",SUMIFS(Transactions!$D:$D,Transactions!$A:$A,"&lt;="&amp;A964,Transactions!$B:$B,Settings!$B$1))</f>
        <v/>
      </c>
      <c r="E964" s="14" t="str">
        <f aca="false">IF(A964="","",SUMIFS(Transactions!$C:$C,Transactions!$A:$A,"&lt;="&amp;A964,Transactions!$B:$B,Settings!$B$1)+SUMIFS(Transactions!$F:$F,Transactions!$A:$A,"&lt;="&amp;A964,Transactions!$B:$B,Settings!$B$1))</f>
        <v/>
      </c>
      <c r="F964" s="14" t="str">
        <f aca="false">IF(A964="","",IF(C964="","",D964*B964*C964))</f>
        <v/>
      </c>
      <c r="G964" s="14" t="str">
        <f aca="false">IF(F964="","",F964-E964)</f>
        <v/>
      </c>
      <c r="H964" s="14" t="str">
        <f aca="false">IF(F964="","",IFERROR(F964-F963-(E964-E963),0))</f>
        <v/>
      </c>
    </row>
    <row r="965" customFormat="false" ht="15" hidden="false" customHeight="false" outlineLevel="0" collapsed="false">
      <c r="A965" s="13" t="str">
        <f aca="false">IF(Prices!A965="","",Prices!A965)</f>
        <v/>
      </c>
      <c r="B965" s="14" t="str">
        <f aca="false">IF(A965="","",Prices!C965)</f>
        <v/>
      </c>
      <c r="C965" s="15" t="str">
        <f aca="false">IF(A965="","",IFERROR(INDEX(FX!$B:$B,MATCH(A965,FX!$A:$A,1)),""))</f>
        <v/>
      </c>
      <c r="D965" s="14" t="str">
        <f aca="false">IF(A965="","",SUMIFS(Transactions!$D:$D,Transactions!$A:$A,"&lt;="&amp;A965,Transactions!$B:$B,Settings!$B$1))</f>
        <v/>
      </c>
      <c r="E965" s="14" t="str">
        <f aca="false">IF(A965="","",SUMIFS(Transactions!$C:$C,Transactions!$A:$A,"&lt;="&amp;A965,Transactions!$B:$B,Settings!$B$1)+SUMIFS(Transactions!$F:$F,Transactions!$A:$A,"&lt;="&amp;A965,Transactions!$B:$B,Settings!$B$1))</f>
        <v/>
      </c>
      <c r="F965" s="14" t="str">
        <f aca="false">IF(A965="","",IF(C965="","",D965*B965*C965))</f>
        <v/>
      </c>
      <c r="G965" s="14" t="str">
        <f aca="false">IF(F965="","",F965-E965)</f>
        <v/>
      </c>
      <c r="H965" s="14" t="str">
        <f aca="false">IF(F965="","",IFERROR(F965-F964-(E965-E964),0))</f>
        <v/>
      </c>
    </row>
    <row r="966" customFormat="false" ht="15" hidden="false" customHeight="false" outlineLevel="0" collapsed="false">
      <c r="A966" s="13" t="str">
        <f aca="false">IF(Prices!A966="","",Prices!A966)</f>
        <v/>
      </c>
      <c r="B966" s="14" t="str">
        <f aca="false">IF(A966="","",Prices!C966)</f>
        <v/>
      </c>
      <c r="C966" s="15" t="str">
        <f aca="false">IF(A966="","",IFERROR(INDEX(FX!$B:$B,MATCH(A966,FX!$A:$A,1)),""))</f>
        <v/>
      </c>
      <c r="D966" s="14" t="str">
        <f aca="false">IF(A966="","",SUMIFS(Transactions!$D:$D,Transactions!$A:$A,"&lt;="&amp;A966,Transactions!$B:$B,Settings!$B$1))</f>
        <v/>
      </c>
      <c r="E966" s="14" t="str">
        <f aca="false">IF(A966="","",SUMIFS(Transactions!$C:$C,Transactions!$A:$A,"&lt;="&amp;A966,Transactions!$B:$B,Settings!$B$1)+SUMIFS(Transactions!$F:$F,Transactions!$A:$A,"&lt;="&amp;A966,Transactions!$B:$B,Settings!$B$1))</f>
        <v/>
      </c>
      <c r="F966" s="14" t="str">
        <f aca="false">IF(A966="","",IF(C966="","",D966*B966*C966))</f>
        <v/>
      </c>
      <c r="G966" s="14" t="str">
        <f aca="false">IF(F966="","",F966-E966)</f>
        <v/>
      </c>
      <c r="H966" s="14" t="str">
        <f aca="false">IF(F966="","",IFERROR(F966-F965-(E966-E965),0))</f>
        <v/>
      </c>
    </row>
    <row r="967" customFormat="false" ht="15" hidden="false" customHeight="false" outlineLevel="0" collapsed="false">
      <c r="A967" s="13" t="str">
        <f aca="false">IF(Prices!A967="","",Prices!A967)</f>
        <v/>
      </c>
      <c r="B967" s="14" t="str">
        <f aca="false">IF(A967="","",Prices!C967)</f>
        <v/>
      </c>
      <c r="C967" s="15" t="str">
        <f aca="false">IF(A967="","",IFERROR(INDEX(FX!$B:$B,MATCH(A967,FX!$A:$A,1)),""))</f>
        <v/>
      </c>
      <c r="D967" s="14" t="str">
        <f aca="false">IF(A967="","",SUMIFS(Transactions!$D:$D,Transactions!$A:$A,"&lt;="&amp;A967,Transactions!$B:$B,Settings!$B$1))</f>
        <v/>
      </c>
      <c r="E967" s="14" t="str">
        <f aca="false">IF(A967="","",SUMIFS(Transactions!$C:$C,Transactions!$A:$A,"&lt;="&amp;A967,Transactions!$B:$B,Settings!$B$1)+SUMIFS(Transactions!$F:$F,Transactions!$A:$A,"&lt;="&amp;A967,Transactions!$B:$B,Settings!$B$1))</f>
        <v/>
      </c>
      <c r="F967" s="14" t="str">
        <f aca="false">IF(A967="","",IF(C967="","",D967*B967*C967))</f>
        <v/>
      </c>
      <c r="G967" s="14" t="str">
        <f aca="false">IF(F967="","",F967-E967)</f>
        <v/>
      </c>
      <c r="H967" s="14" t="str">
        <f aca="false">IF(F967="","",IFERROR(F967-F966-(E967-E966),0))</f>
        <v/>
      </c>
    </row>
    <row r="968" customFormat="false" ht="15" hidden="false" customHeight="false" outlineLevel="0" collapsed="false">
      <c r="A968" s="13" t="str">
        <f aca="false">IF(Prices!A968="","",Prices!A968)</f>
        <v/>
      </c>
      <c r="B968" s="14" t="str">
        <f aca="false">IF(A968="","",Prices!C968)</f>
        <v/>
      </c>
      <c r="C968" s="15" t="str">
        <f aca="false">IF(A968="","",IFERROR(INDEX(FX!$B:$B,MATCH(A968,FX!$A:$A,1)),""))</f>
        <v/>
      </c>
      <c r="D968" s="14" t="str">
        <f aca="false">IF(A968="","",SUMIFS(Transactions!$D:$D,Transactions!$A:$A,"&lt;="&amp;A968,Transactions!$B:$B,Settings!$B$1))</f>
        <v/>
      </c>
      <c r="E968" s="14" t="str">
        <f aca="false">IF(A968="","",SUMIFS(Transactions!$C:$C,Transactions!$A:$A,"&lt;="&amp;A968,Transactions!$B:$B,Settings!$B$1)+SUMIFS(Transactions!$F:$F,Transactions!$A:$A,"&lt;="&amp;A968,Transactions!$B:$B,Settings!$B$1))</f>
        <v/>
      </c>
      <c r="F968" s="14" t="str">
        <f aca="false">IF(A968="","",IF(C968="","",D968*B968*C968))</f>
        <v/>
      </c>
      <c r="G968" s="14" t="str">
        <f aca="false">IF(F968="","",F968-E968)</f>
        <v/>
      </c>
      <c r="H968" s="14" t="str">
        <f aca="false">IF(F968="","",IFERROR(F968-F967-(E968-E967),0))</f>
        <v/>
      </c>
    </row>
    <row r="969" customFormat="false" ht="15" hidden="false" customHeight="false" outlineLevel="0" collapsed="false">
      <c r="A969" s="13" t="str">
        <f aca="false">IF(Prices!A969="","",Prices!A969)</f>
        <v/>
      </c>
      <c r="B969" s="14" t="str">
        <f aca="false">IF(A969="","",Prices!C969)</f>
        <v/>
      </c>
      <c r="C969" s="15" t="str">
        <f aca="false">IF(A969="","",IFERROR(INDEX(FX!$B:$B,MATCH(A969,FX!$A:$A,1)),""))</f>
        <v/>
      </c>
      <c r="D969" s="14" t="str">
        <f aca="false">IF(A969="","",SUMIFS(Transactions!$D:$D,Transactions!$A:$A,"&lt;="&amp;A969,Transactions!$B:$B,Settings!$B$1))</f>
        <v/>
      </c>
      <c r="E969" s="14" t="str">
        <f aca="false">IF(A969="","",SUMIFS(Transactions!$C:$C,Transactions!$A:$A,"&lt;="&amp;A969,Transactions!$B:$B,Settings!$B$1)+SUMIFS(Transactions!$F:$F,Transactions!$A:$A,"&lt;="&amp;A969,Transactions!$B:$B,Settings!$B$1))</f>
        <v/>
      </c>
      <c r="F969" s="14" t="str">
        <f aca="false">IF(A969="","",IF(C969="","",D969*B969*C969))</f>
        <v/>
      </c>
      <c r="G969" s="14" t="str">
        <f aca="false">IF(F969="","",F969-E969)</f>
        <v/>
      </c>
      <c r="H969" s="14" t="str">
        <f aca="false">IF(F969="","",IFERROR(F969-F968-(E969-E968),0))</f>
        <v/>
      </c>
    </row>
    <row r="970" customFormat="false" ht="15" hidden="false" customHeight="false" outlineLevel="0" collapsed="false">
      <c r="A970" s="13" t="str">
        <f aca="false">IF(Prices!A970="","",Prices!A970)</f>
        <v/>
      </c>
      <c r="B970" s="14" t="str">
        <f aca="false">IF(A970="","",Prices!C970)</f>
        <v/>
      </c>
      <c r="C970" s="15" t="str">
        <f aca="false">IF(A970="","",IFERROR(INDEX(FX!$B:$B,MATCH(A970,FX!$A:$A,1)),""))</f>
        <v/>
      </c>
      <c r="D970" s="14" t="str">
        <f aca="false">IF(A970="","",SUMIFS(Transactions!$D:$D,Transactions!$A:$A,"&lt;="&amp;A970,Transactions!$B:$B,Settings!$B$1))</f>
        <v/>
      </c>
      <c r="E970" s="14" t="str">
        <f aca="false">IF(A970="","",SUMIFS(Transactions!$C:$C,Transactions!$A:$A,"&lt;="&amp;A970,Transactions!$B:$B,Settings!$B$1)+SUMIFS(Transactions!$F:$F,Transactions!$A:$A,"&lt;="&amp;A970,Transactions!$B:$B,Settings!$B$1))</f>
        <v/>
      </c>
      <c r="F970" s="14" t="str">
        <f aca="false">IF(A970="","",IF(C970="","",D970*B970*C970))</f>
        <v/>
      </c>
      <c r="G970" s="14" t="str">
        <f aca="false">IF(F970="","",F970-E970)</f>
        <v/>
      </c>
      <c r="H970" s="14" t="str">
        <f aca="false">IF(F970="","",IFERROR(F970-F969-(E970-E969),0))</f>
        <v/>
      </c>
    </row>
    <row r="971" customFormat="false" ht="15" hidden="false" customHeight="false" outlineLevel="0" collapsed="false">
      <c r="A971" s="13" t="str">
        <f aca="false">IF(Prices!A971="","",Prices!A971)</f>
        <v/>
      </c>
      <c r="B971" s="14" t="str">
        <f aca="false">IF(A971="","",Prices!C971)</f>
        <v/>
      </c>
      <c r="C971" s="15" t="str">
        <f aca="false">IF(A971="","",IFERROR(INDEX(FX!$B:$B,MATCH(A971,FX!$A:$A,1)),""))</f>
        <v/>
      </c>
      <c r="D971" s="14" t="str">
        <f aca="false">IF(A971="","",SUMIFS(Transactions!$D:$D,Transactions!$A:$A,"&lt;="&amp;A971,Transactions!$B:$B,Settings!$B$1))</f>
        <v/>
      </c>
      <c r="E971" s="14" t="str">
        <f aca="false">IF(A971="","",SUMIFS(Transactions!$C:$C,Transactions!$A:$A,"&lt;="&amp;A971,Transactions!$B:$B,Settings!$B$1)+SUMIFS(Transactions!$F:$F,Transactions!$A:$A,"&lt;="&amp;A971,Transactions!$B:$B,Settings!$B$1))</f>
        <v/>
      </c>
      <c r="F971" s="14" t="str">
        <f aca="false">IF(A971="","",IF(C971="","",D971*B971*C971))</f>
        <v/>
      </c>
      <c r="G971" s="14" t="str">
        <f aca="false">IF(F971="","",F971-E971)</f>
        <v/>
      </c>
      <c r="H971" s="14" t="str">
        <f aca="false">IF(F971="","",IFERROR(F971-F970-(E971-E970),0))</f>
        <v/>
      </c>
    </row>
    <row r="972" customFormat="false" ht="15" hidden="false" customHeight="false" outlineLevel="0" collapsed="false">
      <c r="A972" s="13" t="str">
        <f aca="false">IF(Prices!A972="","",Prices!A972)</f>
        <v/>
      </c>
      <c r="B972" s="14" t="str">
        <f aca="false">IF(A972="","",Prices!C972)</f>
        <v/>
      </c>
      <c r="C972" s="15" t="str">
        <f aca="false">IF(A972="","",IFERROR(INDEX(FX!$B:$B,MATCH(A972,FX!$A:$A,1)),""))</f>
        <v/>
      </c>
      <c r="D972" s="14" t="str">
        <f aca="false">IF(A972="","",SUMIFS(Transactions!$D:$D,Transactions!$A:$A,"&lt;="&amp;A972,Transactions!$B:$B,Settings!$B$1))</f>
        <v/>
      </c>
      <c r="E972" s="14" t="str">
        <f aca="false">IF(A972="","",SUMIFS(Transactions!$C:$C,Transactions!$A:$A,"&lt;="&amp;A972,Transactions!$B:$B,Settings!$B$1)+SUMIFS(Transactions!$F:$F,Transactions!$A:$A,"&lt;="&amp;A972,Transactions!$B:$B,Settings!$B$1))</f>
        <v/>
      </c>
      <c r="F972" s="14" t="str">
        <f aca="false">IF(A972="","",IF(C972="","",D972*B972*C972))</f>
        <v/>
      </c>
      <c r="G972" s="14" t="str">
        <f aca="false">IF(F972="","",F972-E972)</f>
        <v/>
      </c>
      <c r="H972" s="14" t="str">
        <f aca="false">IF(F972="","",IFERROR(F972-F971-(E972-E971),0))</f>
        <v/>
      </c>
    </row>
    <row r="973" customFormat="false" ht="15" hidden="false" customHeight="false" outlineLevel="0" collapsed="false">
      <c r="A973" s="13" t="str">
        <f aca="false">IF(Prices!A973="","",Prices!A973)</f>
        <v/>
      </c>
      <c r="B973" s="14" t="str">
        <f aca="false">IF(A973="","",Prices!C973)</f>
        <v/>
      </c>
      <c r="C973" s="15" t="str">
        <f aca="false">IF(A973="","",IFERROR(INDEX(FX!$B:$B,MATCH(A973,FX!$A:$A,1)),""))</f>
        <v/>
      </c>
      <c r="D973" s="14" t="str">
        <f aca="false">IF(A973="","",SUMIFS(Transactions!$D:$D,Transactions!$A:$A,"&lt;="&amp;A973,Transactions!$B:$B,Settings!$B$1))</f>
        <v/>
      </c>
      <c r="E973" s="14" t="str">
        <f aca="false">IF(A973="","",SUMIFS(Transactions!$C:$C,Transactions!$A:$A,"&lt;="&amp;A973,Transactions!$B:$B,Settings!$B$1)+SUMIFS(Transactions!$F:$F,Transactions!$A:$A,"&lt;="&amp;A973,Transactions!$B:$B,Settings!$B$1))</f>
        <v/>
      </c>
      <c r="F973" s="14" t="str">
        <f aca="false">IF(A973="","",IF(C973="","",D973*B973*C973))</f>
        <v/>
      </c>
      <c r="G973" s="14" t="str">
        <f aca="false">IF(F973="","",F973-E973)</f>
        <v/>
      </c>
      <c r="H973" s="14" t="str">
        <f aca="false">IF(F973="","",IFERROR(F973-F972-(E973-E972),0))</f>
        <v/>
      </c>
    </row>
    <row r="974" customFormat="false" ht="15" hidden="false" customHeight="false" outlineLevel="0" collapsed="false">
      <c r="A974" s="13" t="str">
        <f aca="false">IF(Prices!A974="","",Prices!A974)</f>
        <v/>
      </c>
      <c r="B974" s="14" t="str">
        <f aca="false">IF(A974="","",Prices!C974)</f>
        <v/>
      </c>
      <c r="C974" s="15" t="str">
        <f aca="false">IF(A974="","",IFERROR(INDEX(FX!$B:$B,MATCH(A974,FX!$A:$A,1)),""))</f>
        <v/>
      </c>
      <c r="D974" s="14" t="str">
        <f aca="false">IF(A974="","",SUMIFS(Transactions!$D:$D,Transactions!$A:$A,"&lt;="&amp;A974,Transactions!$B:$B,Settings!$B$1))</f>
        <v/>
      </c>
      <c r="E974" s="14" t="str">
        <f aca="false">IF(A974="","",SUMIFS(Transactions!$C:$C,Transactions!$A:$A,"&lt;="&amp;A974,Transactions!$B:$B,Settings!$B$1)+SUMIFS(Transactions!$F:$F,Transactions!$A:$A,"&lt;="&amp;A974,Transactions!$B:$B,Settings!$B$1))</f>
        <v/>
      </c>
      <c r="F974" s="14" t="str">
        <f aca="false">IF(A974="","",IF(C974="","",D974*B974*C974))</f>
        <v/>
      </c>
      <c r="G974" s="14" t="str">
        <f aca="false">IF(F974="","",F974-E974)</f>
        <v/>
      </c>
      <c r="H974" s="14" t="str">
        <f aca="false">IF(F974="","",IFERROR(F974-F973-(E974-E973),0))</f>
        <v/>
      </c>
    </row>
    <row r="975" customFormat="false" ht="15" hidden="false" customHeight="false" outlineLevel="0" collapsed="false">
      <c r="A975" s="13" t="str">
        <f aca="false">IF(Prices!A975="","",Prices!A975)</f>
        <v/>
      </c>
      <c r="B975" s="14" t="str">
        <f aca="false">IF(A975="","",Prices!C975)</f>
        <v/>
      </c>
      <c r="C975" s="15" t="str">
        <f aca="false">IF(A975="","",IFERROR(INDEX(FX!$B:$B,MATCH(A975,FX!$A:$A,1)),""))</f>
        <v/>
      </c>
      <c r="D975" s="14" t="str">
        <f aca="false">IF(A975="","",SUMIFS(Transactions!$D:$D,Transactions!$A:$A,"&lt;="&amp;A975,Transactions!$B:$B,Settings!$B$1))</f>
        <v/>
      </c>
      <c r="E975" s="14" t="str">
        <f aca="false">IF(A975="","",SUMIFS(Transactions!$C:$C,Transactions!$A:$A,"&lt;="&amp;A975,Transactions!$B:$B,Settings!$B$1)+SUMIFS(Transactions!$F:$F,Transactions!$A:$A,"&lt;="&amp;A975,Transactions!$B:$B,Settings!$B$1))</f>
        <v/>
      </c>
      <c r="F975" s="14" t="str">
        <f aca="false">IF(A975="","",IF(C975="","",D975*B975*C975))</f>
        <v/>
      </c>
      <c r="G975" s="14" t="str">
        <f aca="false">IF(F975="","",F975-E975)</f>
        <v/>
      </c>
      <c r="H975" s="14" t="str">
        <f aca="false">IF(F975="","",IFERROR(F975-F974-(E975-E974),0))</f>
        <v/>
      </c>
    </row>
    <row r="976" customFormat="false" ht="15" hidden="false" customHeight="false" outlineLevel="0" collapsed="false">
      <c r="A976" s="13" t="str">
        <f aca="false">IF(Prices!A976="","",Prices!A976)</f>
        <v/>
      </c>
      <c r="B976" s="14" t="str">
        <f aca="false">IF(A976="","",Prices!C976)</f>
        <v/>
      </c>
      <c r="C976" s="15" t="str">
        <f aca="false">IF(A976="","",IFERROR(INDEX(FX!$B:$B,MATCH(A976,FX!$A:$A,1)),""))</f>
        <v/>
      </c>
      <c r="D976" s="14" t="str">
        <f aca="false">IF(A976="","",SUMIFS(Transactions!$D:$D,Transactions!$A:$A,"&lt;="&amp;A976,Transactions!$B:$B,Settings!$B$1))</f>
        <v/>
      </c>
      <c r="E976" s="14" t="str">
        <f aca="false">IF(A976="","",SUMIFS(Transactions!$C:$C,Transactions!$A:$A,"&lt;="&amp;A976,Transactions!$B:$B,Settings!$B$1)+SUMIFS(Transactions!$F:$F,Transactions!$A:$A,"&lt;="&amp;A976,Transactions!$B:$B,Settings!$B$1))</f>
        <v/>
      </c>
      <c r="F976" s="14" t="str">
        <f aca="false">IF(A976="","",IF(C976="","",D976*B976*C976))</f>
        <v/>
      </c>
      <c r="G976" s="14" t="str">
        <f aca="false">IF(F976="","",F976-E976)</f>
        <v/>
      </c>
      <c r="H976" s="14" t="str">
        <f aca="false">IF(F976="","",IFERROR(F976-F975-(E976-E975),0))</f>
        <v/>
      </c>
    </row>
    <row r="977" customFormat="false" ht="15" hidden="false" customHeight="false" outlineLevel="0" collapsed="false">
      <c r="A977" s="13" t="str">
        <f aca="false">IF(Prices!A977="","",Prices!A977)</f>
        <v/>
      </c>
      <c r="B977" s="14" t="str">
        <f aca="false">IF(A977="","",Prices!C977)</f>
        <v/>
      </c>
      <c r="C977" s="15" t="str">
        <f aca="false">IF(A977="","",IFERROR(INDEX(FX!$B:$B,MATCH(A977,FX!$A:$A,1)),""))</f>
        <v/>
      </c>
      <c r="D977" s="14" t="str">
        <f aca="false">IF(A977="","",SUMIFS(Transactions!$D:$D,Transactions!$A:$A,"&lt;="&amp;A977,Transactions!$B:$B,Settings!$B$1))</f>
        <v/>
      </c>
      <c r="E977" s="14" t="str">
        <f aca="false">IF(A977="","",SUMIFS(Transactions!$C:$C,Transactions!$A:$A,"&lt;="&amp;A977,Transactions!$B:$B,Settings!$B$1)+SUMIFS(Transactions!$F:$F,Transactions!$A:$A,"&lt;="&amp;A977,Transactions!$B:$B,Settings!$B$1))</f>
        <v/>
      </c>
      <c r="F977" s="14" t="str">
        <f aca="false">IF(A977="","",IF(C977="","",D977*B977*C977))</f>
        <v/>
      </c>
      <c r="G977" s="14" t="str">
        <f aca="false">IF(F977="","",F977-E977)</f>
        <v/>
      </c>
      <c r="H977" s="14" t="str">
        <f aca="false">IF(F977="","",IFERROR(F977-F976-(E977-E976),0))</f>
        <v/>
      </c>
    </row>
    <row r="978" customFormat="false" ht="15" hidden="false" customHeight="false" outlineLevel="0" collapsed="false">
      <c r="A978" s="13" t="str">
        <f aca="false">IF(Prices!A978="","",Prices!A978)</f>
        <v/>
      </c>
      <c r="B978" s="14" t="str">
        <f aca="false">IF(A978="","",Prices!C978)</f>
        <v/>
      </c>
      <c r="C978" s="15" t="str">
        <f aca="false">IF(A978="","",IFERROR(INDEX(FX!$B:$B,MATCH(A978,FX!$A:$A,1)),""))</f>
        <v/>
      </c>
      <c r="D978" s="14" t="str">
        <f aca="false">IF(A978="","",SUMIFS(Transactions!$D:$D,Transactions!$A:$A,"&lt;="&amp;A978,Transactions!$B:$B,Settings!$B$1))</f>
        <v/>
      </c>
      <c r="E978" s="14" t="str">
        <f aca="false">IF(A978="","",SUMIFS(Transactions!$C:$C,Transactions!$A:$A,"&lt;="&amp;A978,Transactions!$B:$B,Settings!$B$1)+SUMIFS(Transactions!$F:$F,Transactions!$A:$A,"&lt;="&amp;A978,Transactions!$B:$B,Settings!$B$1))</f>
        <v/>
      </c>
      <c r="F978" s="14" t="str">
        <f aca="false">IF(A978="","",IF(C978="","",D978*B978*C978))</f>
        <v/>
      </c>
      <c r="G978" s="14" t="str">
        <f aca="false">IF(F978="","",F978-E978)</f>
        <v/>
      </c>
      <c r="H978" s="14" t="str">
        <f aca="false">IF(F978="","",IFERROR(F978-F977-(E978-E977),0))</f>
        <v/>
      </c>
    </row>
    <row r="979" customFormat="false" ht="15" hidden="false" customHeight="false" outlineLevel="0" collapsed="false">
      <c r="A979" s="13" t="str">
        <f aca="false">IF(Prices!A979="","",Prices!A979)</f>
        <v/>
      </c>
      <c r="B979" s="14" t="str">
        <f aca="false">IF(A979="","",Prices!C979)</f>
        <v/>
      </c>
      <c r="C979" s="15" t="str">
        <f aca="false">IF(A979="","",IFERROR(INDEX(FX!$B:$B,MATCH(A979,FX!$A:$A,1)),""))</f>
        <v/>
      </c>
      <c r="D979" s="14" t="str">
        <f aca="false">IF(A979="","",SUMIFS(Transactions!$D:$D,Transactions!$A:$A,"&lt;="&amp;A979,Transactions!$B:$B,Settings!$B$1))</f>
        <v/>
      </c>
      <c r="E979" s="14" t="str">
        <f aca="false">IF(A979="","",SUMIFS(Transactions!$C:$C,Transactions!$A:$A,"&lt;="&amp;A979,Transactions!$B:$B,Settings!$B$1)+SUMIFS(Transactions!$F:$F,Transactions!$A:$A,"&lt;="&amp;A979,Transactions!$B:$B,Settings!$B$1))</f>
        <v/>
      </c>
      <c r="F979" s="14" t="str">
        <f aca="false">IF(A979="","",IF(C979="","",D979*B979*C979))</f>
        <v/>
      </c>
      <c r="G979" s="14" t="str">
        <f aca="false">IF(F979="","",F979-E979)</f>
        <v/>
      </c>
      <c r="H979" s="14" t="str">
        <f aca="false">IF(F979="","",IFERROR(F979-F978-(E979-E978),0))</f>
        <v/>
      </c>
    </row>
    <row r="980" customFormat="false" ht="15" hidden="false" customHeight="false" outlineLevel="0" collapsed="false">
      <c r="A980" s="13" t="str">
        <f aca="false">IF(Prices!A980="","",Prices!A980)</f>
        <v/>
      </c>
      <c r="B980" s="14" t="str">
        <f aca="false">IF(A980="","",Prices!C980)</f>
        <v/>
      </c>
      <c r="C980" s="15" t="str">
        <f aca="false">IF(A980="","",IFERROR(INDEX(FX!$B:$B,MATCH(A980,FX!$A:$A,1)),""))</f>
        <v/>
      </c>
      <c r="D980" s="14" t="str">
        <f aca="false">IF(A980="","",SUMIFS(Transactions!$D:$D,Transactions!$A:$A,"&lt;="&amp;A980,Transactions!$B:$B,Settings!$B$1))</f>
        <v/>
      </c>
      <c r="E980" s="14" t="str">
        <f aca="false">IF(A980="","",SUMIFS(Transactions!$C:$C,Transactions!$A:$A,"&lt;="&amp;A980,Transactions!$B:$B,Settings!$B$1)+SUMIFS(Transactions!$F:$F,Transactions!$A:$A,"&lt;="&amp;A980,Transactions!$B:$B,Settings!$B$1))</f>
        <v/>
      </c>
      <c r="F980" s="14" t="str">
        <f aca="false">IF(A980="","",IF(C980="","",D980*B980*C980))</f>
        <v/>
      </c>
      <c r="G980" s="14" t="str">
        <f aca="false">IF(F980="","",F980-E980)</f>
        <v/>
      </c>
      <c r="H980" s="14" t="str">
        <f aca="false">IF(F980="","",IFERROR(F980-F979-(E980-E979),0))</f>
        <v/>
      </c>
    </row>
    <row r="981" customFormat="false" ht="15" hidden="false" customHeight="false" outlineLevel="0" collapsed="false">
      <c r="A981" s="13" t="str">
        <f aca="false">IF(Prices!A981="","",Prices!A981)</f>
        <v/>
      </c>
      <c r="B981" s="14" t="str">
        <f aca="false">IF(A981="","",Prices!C981)</f>
        <v/>
      </c>
      <c r="C981" s="15" t="str">
        <f aca="false">IF(A981="","",IFERROR(INDEX(FX!$B:$B,MATCH(A981,FX!$A:$A,1)),""))</f>
        <v/>
      </c>
      <c r="D981" s="14" t="str">
        <f aca="false">IF(A981="","",SUMIFS(Transactions!$D:$D,Transactions!$A:$A,"&lt;="&amp;A981,Transactions!$B:$B,Settings!$B$1))</f>
        <v/>
      </c>
      <c r="E981" s="14" t="str">
        <f aca="false">IF(A981="","",SUMIFS(Transactions!$C:$C,Transactions!$A:$A,"&lt;="&amp;A981,Transactions!$B:$B,Settings!$B$1)+SUMIFS(Transactions!$F:$F,Transactions!$A:$A,"&lt;="&amp;A981,Transactions!$B:$B,Settings!$B$1))</f>
        <v/>
      </c>
      <c r="F981" s="14" t="str">
        <f aca="false">IF(A981="","",IF(C981="","",D981*B981*C981))</f>
        <v/>
      </c>
      <c r="G981" s="14" t="str">
        <f aca="false">IF(F981="","",F981-E981)</f>
        <v/>
      </c>
      <c r="H981" s="14" t="str">
        <f aca="false">IF(F981="","",IFERROR(F981-F980-(E981-E980),0))</f>
        <v/>
      </c>
    </row>
    <row r="982" customFormat="false" ht="15" hidden="false" customHeight="false" outlineLevel="0" collapsed="false">
      <c r="A982" s="13" t="str">
        <f aca="false">IF(Prices!A982="","",Prices!A982)</f>
        <v/>
      </c>
      <c r="B982" s="14" t="str">
        <f aca="false">IF(A982="","",Prices!C982)</f>
        <v/>
      </c>
      <c r="C982" s="15" t="str">
        <f aca="false">IF(A982="","",IFERROR(INDEX(FX!$B:$B,MATCH(A982,FX!$A:$A,1)),""))</f>
        <v/>
      </c>
      <c r="D982" s="14" t="str">
        <f aca="false">IF(A982="","",SUMIFS(Transactions!$D:$D,Transactions!$A:$A,"&lt;="&amp;A982,Transactions!$B:$B,Settings!$B$1))</f>
        <v/>
      </c>
      <c r="E982" s="14" t="str">
        <f aca="false">IF(A982="","",SUMIFS(Transactions!$C:$C,Transactions!$A:$A,"&lt;="&amp;A982,Transactions!$B:$B,Settings!$B$1)+SUMIFS(Transactions!$F:$F,Transactions!$A:$A,"&lt;="&amp;A982,Transactions!$B:$B,Settings!$B$1))</f>
        <v/>
      </c>
      <c r="F982" s="14" t="str">
        <f aca="false">IF(A982="","",IF(C982="","",D982*B982*C982))</f>
        <v/>
      </c>
      <c r="G982" s="14" t="str">
        <f aca="false">IF(F982="","",F982-E982)</f>
        <v/>
      </c>
      <c r="H982" s="14" t="str">
        <f aca="false">IF(F982="","",IFERROR(F982-F981-(E982-E981),0))</f>
        <v/>
      </c>
    </row>
    <row r="983" customFormat="false" ht="15" hidden="false" customHeight="false" outlineLevel="0" collapsed="false">
      <c r="A983" s="13" t="str">
        <f aca="false">IF(Prices!A983="","",Prices!A983)</f>
        <v/>
      </c>
      <c r="B983" s="14" t="str">
        <f aca="false">IF(A983="","",Prices!C983)</f>
        <v/>
      </c>
      <c r="C983" s="15" t="str">
        <f aca="false">IF(A983="","",IFERROR(INDEX(FX!$B:$B,MATCH(A983,FX!$A:$A,1)),""))</f>
        <v/>
      </c>
      <c r="D983" s="14" t="str">
        <f aca="false">IF(A983="","",SUMIFS(Transactions!$D:$D,Transactions!$A:$A,"&lt;="&amp;A983,Transactions!$B:$B,Settings!$B$1))</f>
        <v/>
      </c>
      <c r="E983" s="14" t="str">
        <f aca="false">IF(A983="","",SUMIFS(Transactions!$C:$C,Transactions!$A:$A,"&lt;="&amp;A983,Transactions!$B:$B,Settings!$B$1)+SUMIFS(Transactions!$F:$F,Transactions!$A:$A,"&lt;="&amp;A983,Transactions!$B:$B,Settings!$B$1))</f>
        <v/>
      </c>
      <c r="F983" s="14" t="str">
        <f aca="false">IF(A983="","",IF(C983="","",D983*B983*C983))</f>
        <v/>
      </c>
      <c r="G983" s="14" t="str">
        <f aca="false">IF(F983="","",F983-E983)</f>
        <v/>
      </c>
      <c r="H983" s="14" t="str">
        <f aca="false">IF(F983="","",IFERROR(F983-F982-(E983-E982),0))</f>
        <v/>
      </c>
    </row>
    <row r="984" customFormat="false" ht="15" hidden="false" customHeight="false" outlineLevel="0" collapsed="false">
      <c r="A984" s="13" t="str">
        <f aca="false">IF(Prices!A984="","",Prices!A984)</f>
        <v/>
      </c>
      <c r="B984" s="14" t="str">
        <f aca="false">IF(A984="","",Prices!C984)</f>
        <v/>
      </c>
      <c r="C984" s="15" t="str">
        <f aca="false">IF(A984="","",IFERROR(INDEX(FX!$B:$B,MATCH(A984,FX!$A:$A,1)),""))</f>
        <v/>
      </c>
      <c r="D984" s="14" t="str">
        <f aca="false">IF(A984="","",SUMIFS(Transactions!$D:$D,Transactions!$A:$A,"&lt;="&amp;A984,Transactions!$B:$B,Settings!$B$1))</f>
        <v/>
      </c>
      <c r="E984" s="14" t="str">
        <f aca="false">IF(A984="","",SUMIFS(Transactions!$C:$C,Transactions!$A:$A,"&lt;="&amp;A984,Transactions!$B:$B,Settings!$B$1)+SUMIFS(Transactions!$F:$F,Transactions!$A:$A,"&lt;="&amp;A984,Transactions!$B:$B,Settings!$B$1))</f>
        <v/>
      </c>
      <c r="F984" s="14" t="str">
        <f aca="false">IF(A984="","",IF(C984="","",D984*B984*C984))</f>
        <v/>
      </c>
      <c r="G984" s="14" t="str">
        <f aca="false">IF(F984="","",F984-E984)</f>
        <v/>
      </c>
      <c r="H984" s="14" t="str">
        <f aca="false">IF(F984="","",IFERROR(F984-F983-(E984-E983),0))</f>
        <v/>
      </c>
    </row>
    <row r="985" customFormat="false" ht="15" hidden="false" customHeight="false" outlineLevel="0" collapsed="false">
      <c r="A985" s="13" t="str">
        <f aca="false">IF(Prices!A985="","",Prices!A985)</f>
        <v/>
      </c>
      <c r="B985" s="14" t="str">
        <f aca="false">IF(A985="","",Prices!C985)</f>
        <v/>
      </c>
      <c r="C985" s="15" t="str">
        <f aca="false">IF(A985="","",IFERROR(INDEX(FX!$B:$B,MATCH(A985,FX!$A:$A,1)),""))</f>
        <v/>
      </c>
      <c r="D985" s="14" t="str">
        <f aca="false">IF(A985="","",SUMIFS(Transactions!$D:$D,Transactions!$A:$A,"&lt;="&amp;A985,Transactions!$B:$B,Settings!$B$1))</f>
        <v/>
      </c>
      <c r="E985" s="14" t="str">
        <f aca="false">IF(A985="","",SUMIFS(Transactions!$C:$C,Transactions!$A:$A,"&lt;="&amp;A985,Transactions!$B:$B,Settings!$B$1)+SUMIFS(Transactions!$F:$F,Transactions!$A:$A,"&lt;="&amp;A985,Transactions!$B:$B,Settings!$B$1))</f>
        <v/>
      </c>
      <c r="F985" s="14" t="str">
        <f aca="false">IF(A985="","",IF(C985="","",D985*B985*C985))</f>
        <v/>
      </c>
      <c r="G985" s="14" t="str">
        <f aca="false">IF(F985="","",F985-E985)</f>
        <v/>
      </c>
      <c r="H985" s="14" t="str">
        <f aca="false">IF(F985="","",IFERROR(F985-F984-(E985-E984),0))</f>
        <v/>
      </c>
    </row>
    <row r="986" customFormat="false" ht="15" hidden="false" customHeight="false" outlineLevel="0" collapsed="false">
      <c r="A986" s="13" t="str">
        <f aca="false">IF(Prices!A986="","",Prices!A986)</f>
        <v/>
      </c>
      <c r="B986" s="14" t="str">
        <f aca="false">IF(A986="","",Prices!C986)</f>
        <v/>
      </c>
      <c r="C986" s="15" t="str">
        <f aca="false">IF(A986="","",IFERROR(INDEX(FX!$B:$B,MATCH(A986,FX!$A:$A,1)),""))</f>
        <v/>
      </c>
      <c r="D986" s="14" t="str">
        <f aca="false">IF(A986="","",SUMIFS(Transactions!$D:$D,Transactions!$A:$A,"&lt;="&amp;A986,Transactions!$B:$B,Settings!$B$1))</f>
        <v/>
      </c>
      <c r="E986" s="14" t="str">
        <f aca="false">IF(A986="","",SUMIFS(Transactions!$C:$C,Transactions!$A:$A,"&lt;="&amp;A986,Transactions!$B:$B,Settings!$B$1)+SUMIFS(Transactions!$F:$F,Transactions!$A:$A,"&lt;="&amp;A986,Transactions!$B:$B,Settings!$B$1))</f>
        <v/>
      </c>
      <c r="F986" s="14" t="str">
        <f aca="false">IF(A986="","",IF(C986="","",D986*B986*C986))</f>
        <v/>
      </c>
      <c r="G986" s="14" t="str">
        <f aca="false">IF(F986="","",F986-E986)</f>
        <v/>
      </c>
      <c r="H986" s="14" t="str">
        <f aca="false">IF(F986="","",IFERROR(F986-F985-(E986-E985),0))</f>
        <v/>
      </c>
    </row>
    <row r="987" customFormat="false" ht="15" hidden="false" customHeight="false" outlineLevel="0" collapsed="false">
      <c r="A987" s="13" t="str">
        <f aca="false">IF(Prices!A987="","",Prices!A987)</f>
        <v/>
      </c>
      <c r="B987" s="14" t="str">
        <f aca="false">IF(A987="","",Prices!C987)</f>
        <v/>
      </c>
      <c r="C987" s="15" t="str">
        <f aca="false">IF(A987="","",IFERROR(INDEX(FX!$B:$B,MATCH(A987,FX!$A:$A,1)),""))</f>
        <v/>
      </c>
      <c r="D987" s="14" t="str">
        <f aca="false">IF(A987="","",SUMIFS(Transactions!$D:$D,Transactions!$A:$A,"&lt;="&amp;A987,Transactions!$B:$B,Settings!$B$1))</f>
        <v/>
      </c>
      <c r="E987" s="14" t="str">
        <f aca="false">IF(A987="","",SUMIFS(Transactions!$C:$C,Transactions!$A:$A,"&lt;="&amp;A987,Transactions!$B:$B,Settings!$B$1)+SUMIFS(Transactions!$F:$F,Transactions!$A:$A,"&lt;="&amp;A987,Transactions!$B:$B,Settings!$B$1))</f>
        <v/>
      </c>
      <c r="F987" s="14" t="str">
        <f aca="false">IF(A987="","",IF(C987="","",D987*B987*C987))</f>
        <v/>
      </c>
      <c r="G987" s="14" t="str">
        <f aca="false">IF(F987="","",F987-E987)</f>
        <v/>
      </c>
      <c r="H987" s="14" t="str">
        <f aca="false">IF(F987="","",IFERROR(F987-F986-(E987-E986),0))</f>
        <v/>
      </c>
    </row>
    <row r="988" customFormat="false" ht="15" hidden="false" customHeight="false" outlineLevel="0" collapsed="false">
      <c r="A988" s="13" t="str">
        <f aca="false">IF(Prices!A988="","",Prices!A988)</f>
        <v/>
      </c>
      <c r="B988" s="14" t="str">
        <f aca="false">IF(A988="","",Prices!C988)</f>
        <v/>
      </c>
      <c r="C988" s="15" t="str">
        <f aca="false">IF(A988="","",IFERROR(INDEX(FX!$B:$B,MATCH(A988,FX!$A:$A,1)),""))</f>
        <v/>
      </c>
      <c r="D988" s="14" t="str">
        <f aca="false">IF(A988="","",SUMIFS(Transactions!$D:$D,Transactions!$A:$A,"&lt;="&amp;A988,Transactions!$B:$B,Settings!$B$1))</f>
        <v/>
      </c>
      <c r="E988" s="14" t="str">
        <f aca="false">IF(A988="","",SUMIFS(Transactions!$C:$C,Transactions!$A:$A,"&lt;="&amp;A988,Transactions!$B:$B,Settings!$B$1)+SUMIFS(Transactions!$F:$F,Transactions!$A:$A,"&lt;="&amp;A988,Transactions!$B:$B,Settings!$B$1))</f>
        <v/>
      </c>
      <c r="F988" s="14" t="str">
        <f aca="false">IF(A988="","",IF(C988="","",D988*B988*C988))</f>
        <v/>
      </c>
      <c r="G988" s="14" t="str">
        <f aca="false">IF(F988="","",F988-E988)</f>
        <v/>
      </c>
      <c r="H988" s="14" t="str">
        <f aca="false">IF(F988="","",IFERROR(F988-F987-(E988-E987),0))</f>
        <v/>
      </c>
    </row>
    <row r="989" customFormat="false" ht="15" hidden="false" customHeight="false" outlineLevel="0" collapsed="false">
      <c r="A989" s="13" t="str">
        <f aca="false">IF(Prices!A989="","",Prices!A989)</f>
        <v/>
      </c>
      <c r="B989" s="14" t="str">
        <f aca="false">IF(A989="","",Prices!C989)</f>
        <v/>
      </c>
      <c r="C989" s="15" t="str">
        <f aca="false">IF(A989="","",IFERROR(INDEX(FX!$B:$B,MATCH(A989,FX!$A:$A,1)),""))</f>
        <v/>
      </c>
      <c r="D989" s="14" t="str">
        <f aca="false">IF(A989="","",SUMIFS(Transactions!$D:$D,Transactions!$A:$A,"&lt;="&amp;A989,Transactions!$B:$B,Settings!$B$1))</f>
        <v/>
      </c>
      <c r="E989" s="14" t="str">
        <f aca="false">IF(A989="","",SUMIFS(Transactions!$C:$C,Transactions!$A:$A,"&lt;="&amp;A989,Transactions!$B:$B,Settings!$B$1)+SUMIFS(Transactions!$F:$F,Transactions!$A:$A,"&lt;="&amp;A989,Transactions!$B:$B,Settings!$B$1))</f>
        <v/>
      </c>
      <c r="F989" s="14" t="str">
        <f aca="false">IF(A989="","",IF(C989="","",D989*B989*C989))</f>
        <v/>
      </c>
      <c r="G989" s="14" t="str">
        <f aca="false">IF(F989="","",F989-E989)</f>
        <v/>
      </c>
      <c r="H989" s="14" t="str">
        <f aca="false">IF(F989="","",IFERROR(F989-F988-(E989-E988),0))</f>
        <v/>
      </c>
    </row>
    <row r="990" customFormat="false" ht="15" hidden="false" customHeight="false" outlineLevel="0" collapsed="false">
      <c r="A990" s="13" t="str">
        <f aca="false">IF(Prices!A990="","",Prices!A990)</f>
        <v/>
      </c>
      <c r="B990" s="14" t="str">
        <f aca="false">IF(A990="","",Prices!C990)</f>
        <v/>
      </c>
      <c r="C990" s="15" t="str">
        <f aca="false">IF(A990="","",IFERROR(INDEX(FX!$B:$B,MATCH(A990,FX!$A:$A,1)),""))</f>
        <v/>
      </c>
      <c r="D990" s="14" t="str">
        <f aca="false">IF(A990="","",SUMIFS(Transactions!$D:$D,Transactions!$A:$A,"&lt;="&amp;A990,Transactions!$B:$B,Settings!$B$1))</f>
        <v/>
      </c>
      <c r="E990" s="14" t="str">
        <f aca="false">IF(A990="","",SUMIFS(Transactions!$C:$C,Transactions!$A:$A,"&lt;="&amp;A990,Transactions!$B:$B,Settings!$B$1)+SUMIFS(Transactions!$F:$F,Transactions!$A:$A,"&lt;="&amp;A990,Transactions!$B:$B,Settings!$B$1))</f>
        <v/>
      </c>
      <c r="F990" s="14" t="str">
        <f aca="false">IF(A990="","",IF(C990="","",D990*B990*C990))</f>
        <v/>
      </c>
      <c r="G990" s="14" t="str">
        <f aca="false">IF(F990="","",F990-E990)</f>
        <v/>
      </c>
      <c r="H990" s="14" t="str">
        <f aca="false">IF(F990="","",IFERROR(F990-F989-(E990-E989),0))</f>
        <v/>
      </c>
    </row>
    <row r="991" customFormat="false" ht="15" hidden="false" customHeight="false" outlineLevel="0" collapsed="false">
      <c r="A991" s="13" t="str">
        <f aca="false">IF(Prices!A991="","",Prices!A991)</f>
        <v/>
      </c>
      <c r="B991" s="14" t="str">
        <f aca="false">IF(A991="","",Prices!C991)</f>
        <v/>
      </c>
      <c r="C991" s="15" t="str">
        <f aca="false">IF(A991="","",IFERROR(INDEX(FX!$B:$B,MATCH(A991,FX!$A:$A,1)),""))</f>
        <v/>
      </c>
      <c r="D991" s="14" t="str">
        <f aca="false">IF(A991="","",SUMIFS(Transactions!$D:$D,Transactions!$A:$A,"&lt;="&amp;A991,Transactions!$B:$B,Settings!$B$1))</f>
        <v/>
      </c>
      <c r="E991" s="14" t="str">
        <f aca="false">IF(A991="","",SUMIFS(Transactions!$C:$C,Transactions!$A:$A,"&lt;="&amp;A991,Transactions!$B:$B,Settings!$B$1)+SUMIFS(Transactions!$F:$F,Transactions!$A:$A,"&lt;="&amp;A991,Transactions!$B:$B,Settings!$B$1))</f>
        <v/>
      </c>
      <c r="F991" s="14" t="str">
        <f aca="false">IF(A991="","",IF(C991="","",D991*B991*C991))</f>
        <v/>
      </c>
      <c r="G991" s="14" t="str">
        <f aca="false">IF(F991="","",F991-E991)</f>
        <v/>
      </c>
      <c r="H991" s="14" t="str">
        <f aca="false">IF(F991="","",IFERROR(F991-F990-(E991-E990),0))</f>
        <v/>
      </c>
    </row>
    <row r="992" customFormat="false" ht="15" hidden="false" customHeight="false" outlineLevel="0" collapsed="false">
      <c r="A992" s="13" t="str">
        <f aca="false">IF(Prices!A992="","",Prices!A992)</f>
        <v/>
      </c>
      <c r="B992" s="14" t="str">
        <f aca="false">IF(A992="","",Prices!C992)</f>
        <v/>
      </c>
      <c r="C992" s="15" t="str">
        <f aca="false">IF(A992="","",IFERROR(INDEX(FX!$B:$B,MATCH(A992,FX!$A:$A,1)),""))</f>
        <v/>
      </c>
      <c r="D992" s="14" t="str">
        <f aca="false">IF(A992="","",SUMIFS(Transactions!$D:$D,Transactions!$A:$A,"&lt;="&amp;A992,Transactions!$B:$B,Settings!$B$1))</f>
        <v/>
      </c>
      <c r="E992" s="14" t="str">
        <f aca="false">IF(A992="","",SUMIFS(Transactions!$C:$C,Transactions!$A:$A,"&lt;="&amp;A992,Transactions!$B:$B,Settings!$B$1)+SUMIFS(Transactions!$F:$F,Transactions!$A:$A,"&lt;="&amp;A992,Transactions!$B:$B,Settings!$B$1))</f>
        <v/>
      </c>
      <c r="F992" s="14" t="str">
        <f aca="false">IF(A992="","",IF(C992="","",D992*B992*C992))</f>
        <v/>
      </c>
      <c r="G992" s="14" t="str">
        <f aca="false">IF(F992="","",F992-E992)</f>
        <v/>
      </c>
      <c r="H992" s="14" t="str">
        <f aca="false">IF(F992="","",IFERROR(F992-F991-(E992-E991),0))</f>
        <v/>
      </c>
    </row>
    <row r="993" customFormat="false" ht="15" hidden="false" customHeight="false" outlineLevel="0" collapsed="false">
      <c r="A993" s="13" t="str">
        <f aca="false">IF(Prices!A993="","",Prices!A993)</f>
        <v/>
      </c>
      <c r="B993" s="14" t="str">
        <f aca="false">IF(A993="","",Prices!C993)</f>
        <v/>
      </c>
      <c r="C993" s="15" t="str">
        <f aca="false">IF(A993="","",IFERROR(INDEX(FX!$B:$B,MATCH(A993,FX!$A:$A,1)),""))</f>
        <v/>
      </c>
      <c r="D993" s="14" t="str">
        <f aca="false">IF(A993="","",SUMIFS(Transactions!$D:$D,Transactions!$A:$A,"&lt;="&amp;A993,Transactions!$B:$B,Settings!$B$1))</f>
        <v/>
      </c>
      <c r="E993" s="14" t="str">
        <f aca="false">IF(A993="","",SUMIFS(Transactions!$C:$C,Transactions!$A:$A,"&lt;="&amp;A993,Transactions!$B:$B,Settings!$B$1)+SUMIFS(Transactions!$F:$F,Transactions!$A:$A,"&lt;="&amp;A993,Transactions!$B:$B,Settings!$B$1))</f>
        <v/>
      </c>
      <c r="F993" s="14" t="str">
        <f aca="false">IF(A993="","",IF(C993="","",D993*B993*C993))</f>
        <v/>
      </c>
      <c r="G993" s="14" t="str">
        <f aca="false">IF(F993="","",F993-E993)</f>
        <v/>
      </c>
      <c r="H993" s="14" t="str">
        <f aca="false">IF(F993="","",IFERROR(F993-F992-(E993-E992),0))</f>
        <v/>
      </c>
    </row>
    <row r="994" customFormat="false" ht="15" hidden="false" customHeight="false" outlineLevel="0" collapsed="false">
      <c r="A994" s="13" t="str">
        <f aca="false">IF(Prices!A994="","",Prices!A994)</f>
        <v/>
      </c>
      <c r="B994" s="14" t="str">
        <f aca="false">IF(A994="","",Prices!C994)</f>
        <v/>
      </c>
      <c r="C994" s="15" t="str">
        <f aca="false">IF(A994="","",IFERROR(INDEX(FX!$B:$B,MATCH(A994,FX!$A:$A,1)),""))</f>
        <v/>
      </c>
      <c r="D994" s="14" t="str">
        <f aca="false">IF(A994="","",SUMIFS(Transactions!$D:$D,Transactions!$A:$A,"&lt;="&amp;A994,Transactions!$B:$B,Settings!$B$1))</f>
        <v/>
      </c>
      <c r="E994" s="14" t="str">
        <f aca="false">IF(A994="","",SUMIFS(Transactions!$C:$C,Transactions!$A:$A,"&lt;="&amp;A994,Transactions!$B:$B,Settings!$B$1)+SUMIFS(Transactions!$F:$F,Transactions!$A:$A,"&lt;="&amp;A994,Transactions!$B:$B,Settings!$B$1))</f>
        <v/>
      </c>
      <c r="F994" s="14" t="str">
        <f aca="false">IF(A994="","",IF(C994="","",D994*B994*C994))</f>
        <v/>
      </c>
      <c r="G994" s="14" t="str">
        <f aca="false">IF(F994="","",F994-E994)</f>
        <v/>
      </c>
      <c r="H994" s="14" t="str">
        <f aca="false">IF(F994="","",IFERROR(F994-F993-(E994-E993),0))</f>
        <v/>
      </c>
    </row>
    <row r="995" customFormat="false" ht="15" hidden="false" customHeight="false" outlineLevel="0" collapsed="false">
      <c r="A995" s="13" t="str">
        <f aca="false">IF(Prices!A995="","",Prices!A995)</f>
        <v/>
      </c>
      <c r="B995" s="14" t="str">
        <f aca="false">IF(A995="","",Prices!C995)</f>
        <v/>
      </c>
      <c r="C995" s="15" t="str">
        <f aca="false">IF(A995="","",IFERROR(INDEX(FX!$B:$B,MATCH(A995,FX!$A:$A,1)),""))</f>
        <v/>
      </c>
      <c r="D995" s="14" t="str">
        <f aca="false">IF(A995="","",SUMIFS(Transactions!$D:$D,Transactions!$A:$A,"&lt;="&amp;A995,Transactions!$B:$B,Settings!$B$1))</f>
        <v/>
      </c>
      <c r="E995" s="14" t="str">
        <f aca="false">IF(A995="","",SUMIFS(Transactions!$C:$C,Transactions!$A:$A,"&lt;="&amp;A995,Transactions!$B:$B,Settings!$B$1)+SUMIFS(Transactions!$F:$F,Transactions!$A:$A,"&lt;="&amp;A995,Transactions!$B:$B,Settings!$B$1))</f>
        <v/>
      </c>
      <c r="F995" s="14" t="str">
        <f aca="false">IF(A995="","",IF(C995="","",D995*B995*C995))</f>
        <v/>
      </c>
      <c r="G995" s="14" t="str">
        <f aca="false">IF(F995="","",F995-E995)</f>
        <v/>
      </c>
      <c r="H995" s="14" t="str">
        <f aca="false">IF(F995="","",IFERROR(F995-F994-(E995-E994),0))</f>
        <v/>
      </c>
    </row>
    <row r="996" customFormat="false" ht="15" hidden="false" customHeight="false" outlineLevel="0" collapsed="false">
      <c r="A996" s="13" t="str">
        <f aca="false">IF(Prices!A996="","",Prices!A996)</f>
        <v/>
      </c>
      <c r="B996" s="14" t="str">
        <f aca="false">IF(A996="","",Prices!C996)</f>
        <v/>
      </c>
      <c r="C996" s="15" t="str">
        <f aca="false">IF(A996="","",IFERROR(INDEX(FX!$B:$B,MATCH(A996,FX!$A:$A,1)),""))</f>
        <v/>
      </c>
      <c r="D996" s="14" t="str">
        <f aca="false">IF(A996="","",SUMIFS(Transactions!$D:$D,Transactions!$A:$A,"&lt;="&amp;A996,Transactions!$B:$B,Settings!$B$1))</f>
        <v/>
      </c>
      <c r="E996" s="14" t="str">
        <f aca="false">IF(A996="","",SUMIFS(Transactions!$C:$C,Transactions!$A:$A,"&lt;="&amp;A996,Transactions!$B:$B,Settings!$B$1)+SUMIFS(Transactions!$F:$F,Transactions!$A:$A,"&lt;="&amp;A996,Transactions!$B:$B,Settings!$B$1))</f>
        <v/>
      </c>
      <c r="F996" s="14" t="str">
        <f aca="false">IF(A996="","",IF(C996="","",D996*B996*C996))</f>
        <v/>
      </c>
      <c r="G996" s="14" t="str">
        <f aca="false">IF(F996="","",F996-E996)</f>
        <v/>
      </c>
      <c r="H996" s="14" t="str">
        <f aca="false">IF(F996="","",IFERROR(F996-F995-(E996-E995),0))</f>
        <v/>
      </c>
    </row>
    <row r="997" customFormat="false" ht="15" hidden="false" customHeight="false" outlineLevel="0" collapsed="false">
      <c r="A997" s="13" t="str">
        <f aca="false">IF(Prices!A997="","",Prices!A997)</f>
        <v/>
      </c>
      <c r="B997" s="14" t="str">
        <f aca="false">IF(A997="","",Prices!C997)</f>
        <v/>
      </c>
      <c r="C997" s="15" t="str">
        <f aca="false">IF(A997="","",IFERROR(INDEX(FX!$B:$B,MATCH(A997,FX!$A:$A,1)),""))</f>
        <v/>
      </c>
      <c r="D997" s="14" t="str">
        <f aca="false">IF(A997="","",SUMIFS(Transactions!$D:$D,Transactions!$A:$A,"&lt;="&amp;A997,Transactions!$B:$B,Settings!$B$1))</f>
        <v/>
      </c>
      <c r="E997" s="14" t="str">
        <f aca="false">IF(A997="","",SUMIFS(Transactions!$C:$C,Transactions!$A:$A,"&lt;="&amp;A997,Transactions!$B:$B,Settings!$B$1)+SUMIFS(Transactions!$F:$F,Transactions!$A:$A,"&lt;="&amp;A997,Transactions!$B:$B,Settings!$B$1))</f>
        <v/>
      </c>
      <c r="F997" s="14" t="str">
        <f aca="false">IF(A997="","",IF(C997="","",D997*B997*C997))</f>
        <v/>
      </c>
      <c r="G997" s="14" t="str">
        <f aca="false">IF(F997="","",F997-E997)</f>
        <v/>
      </c>
      <c r="H997" s="14" t="str">
        <f aca="false">IF(F997="","",IFERROR(F997-F996-(E997-E996),0))</f>
        <v/>
      </c>
    </row>
    <row r="998" customFormat="false" ht="15" hidden="false" customHeight="false" outlineLevel="0" collapsed="false">
      <c r="A998" s="13" t="str">
        <f aca="false">IF(Prices!A998="","",Prices!A998)</f>
        <v/>
      </c>
      <c r="B998" s="14" t="str">
        <f aca="false">IF(A998="","",Prices!C998)</f>
        <v/>
      </c>
      <c r="C998" s="15" t="str">
        <f aca="false">IF(A998="","",IFERROR(INDEX(FX!$B:$B,MATCH(A998,FX!$A:$A,1)),""))</f>
        <v/>
      </c>
      <c r="D998" s="14" t="str">
        <f aca="false">IF(A998="","",SUMIFS(Transactions!$D:$D,Transactions!$A:$A,"&lt;="&amp;A998,Transactions!$B:$B,Settings!$B$1))</f>
        <v/>
      </c>
      <c r="E998" s="14" t="str">
        <f aca="false">IF(A998="","",SUMIFS(Transactions!$C:$C,Transactions!$A:$A,"&lt;="&amp;A998,Transactions!$B:$B,Settings!$B$1)+SUMIFS(Transactions!$F:$F,Transactions!$A:$A,"&lt;="&amp;A998,Transactions!$B:$B,Settings!$B$1))</f>
        <v/>
      </c>
      <c r="F998" s="14" t="str">
        <f aca="false">IF(A998="","",IF(C998="","",D998*B998*C998))</f>
        <v/>
      </c>
      <c r="G998" s="14" t="str">
        <f aca="false">IF(F998="","",F998-E998)</f>
        <v/>
      </c>
      <c r="H998" s="14" t="str">
        <f aca="false">IF(F998="","",IFERROR(F998-F997-(E998-E997),0))</f>
        <v/>
      </c>
    </row>
    <row r="999" customFormat="false" ht="15" hidden="false" customHeight="false" outlineLevel="0" collapsed="false">
      <c r="A999" s="13" t="str">
        <f aca="false">IF(Prices!A999="","",Prices!A999)</f>
        <v/>
      </c>
      <c r="B999" s="14" t="str">
        <f aca="false">IF(A999="","",Prices!C999)</f>
        <v/>
      </c>
      <c r="C999" s="15" t="str">
        <f aca="false">IF(A999="","",IFERROR(INDEX(FX!$B:$B,MATCH(A999,FX!$A:$A,1)),""))</f>
        <v/>
      </c>
      <c r="D999" s="14" t="str">
        <f aca="false">IF(A999="","",SUMIFS(Transactions!$D:$D,Transactions!$A:$A,"&lt;="&amp;A999,Transactions!$B:$B,Settings!$B$1))</f>
        <v/>
      </c>
      <c r="E999" s="14" t="str">
        <f aca="false">IF(A999="","",SUMIFS(Transactions!$C:$C,Transactions!$A:$A,"&lt;="&amp;A999,Transactions!$B:$B,Settings!$B$1)+SUMIFS(Transactions!$F:$F,Transactions!$A:$A,"&lt;="&amp;A999,Transactions!$B:$B,Settings!$B$1))</f>
        <v/>
      </c>
      <c r="F999" s="14" t="str">
        <f aca="false">IF(A999="","",IF(C999="","",D999*B999*C999))</f>
        <v/>
      </c>
      <c r="G999" s="14" t="str">
        <f aca="false">IF(F999="","",F999-E999)</f>
        <v/>
      </c>
      <c r="H999" s="14" t="str">
        <f aca="false">IF(F999="","",IFERROR(F999-F998-(E999-E998),0))</f>
        <v/>
      </c>
    </row>
    <row r="1000" customFormat="false" ht="15" hidden="false" customHeight="false" outlineLevel="0" collapsed="false">
      <c r="A1000" s="13" t="str">
        <f aca="false">IF(Prices!A1000="","",Prices!A1000)</f>
        <v/>
      </c>
      <c r="B1000" s="14" t="str">
        <f aca="false">IF(A1000="","",Prices!C1000)</f>
        <v/>
      </c>
      <c r="C1000" s="15" t="str">
        <f aca="false">IF(A1000="","",IFERROR(INDEX(FX!$B:$B,MATCH(A1000,FX!$A:$A,1)),""))</f>
        <v/>
      </c>
      <c r="D1000" s="14" t="str">
        <f aca="false">IF(A1000="","",SUMIFS(Transactions!$D:$D,Transactions!$A:$A,"&lt;="&amp;A1000,Transactions!$B:$B,Settings!$B$1))</f>
        <v/>
      </c>
      <c r="E1000" s="14" t="str">
        <f aca="false">IF(A1000="","",SUMIFS(Transactions!$C:$C,Transactions!$A:$A,"&lt;="&amp;A1000,Transactions!$B:$B,Settings!$B$1)+SUMIFS(Transactions!$F:$F,Transactions!$A:$A,"&lt;="&amp;A1000,Transactions!$B:$B,Settings!$B$1))</f>
        <v/>
      </c>
      <c r="F1000" s="14" t="str">
        <f aca="false">IF(A1000="","",IF(C1000="","",D1000*B1000*C1000))</f>
        <v/>
      </c>
      <c r="G1000" s="14" t="str">
        <f aca="false">IF(F1000="","",F1000-E1000)</f>
        <v/>
      </c>
      <c r="H1000" s="14" t="str">
        <f aca="false">IF(F1000="","",IFERROR(F1000-F999-(E1000-E999),0))</f>
        <v/>
      </c>
    </row>
    <row r="1001" customFormat="false" ht="15" hidden="false" customHeight="false" outlineLevel="0" collapsed="false">
      <c r="A1001" s="13" t="str">
        <f aca="false">IF(Prices!A1001="","",Prices!A1001)</f>
        <v/>
      </c>
      <c r="B1001" s="14" t="str">
        <f aca="false">IF(A1001="","",Prices!C1001)</f>
        <v/>
      </c>
      <c r="C1001" s="15" t="str">
        <f aca="false">IF(A1001="","",IFERROR(INDEX(FX!$B:$B,MATCH(A1001,FX!$A:$A,1)),""))</f>
        <v/>
      </c>
      <c r="D1001" s="14" t="str">
        <f aca="false">IF(A1001="","",SUMIFS(Transactions!$D:$D,Transactions!$A:$A,"&lt;="&amp;A1001,Transactions!$B:$B,Settings!$B$1))</f>
        <v/>
      </c>
      <c r="E1001" s="14" t="str">
        <f aca="false">IF(A1001="","",SUMIFS(Transactions!$C:$C,Transactions!$A:$A,"&lt;="&amp;A1001,Transactions!$B:$B,Settings!$B$1)+SUMIFS(Transactions!$F:$F,Transactions!$A:$A,"&lt;="&amp;A1001,Transactions!$B:$B,Settings!$B$1))</f>
        <v/>
      </c>
      <c r="F1001" s="14" t="str">
        <f aca="false">IF(A1001="","",IF(C1001="","",D1001*B1001*C1001))</f>
        <v/>
      </c>
      <c r="G1001" s="14" t="str">
        <f aca="false">IF(F1001="","",F1001-E1001)</f>
        <v/>
      </c>
      <c r="H1001" s="14" t="str">
        <f aca="false">IF(F1001="","",IFERROR(F1001-F1000-(E1001-E1000),0))</f>
        <v/>
      </c>
    </row>
    <row r="1002" customFormat="false" ht="15" hidden="false" customHeight="false" outlineLevel="0" collapsed="false">
      <c r="A1002" s="13" t="str">
        <f aca="false">IF(Prices!A1002="","",Prices!A1002)</f>
        <v/>
      </c>
      <c r="B1002" s="14" t="str">
        <f aca="false">IF(A1002="","",Prices!C1002)</f>
        <v/>
      </c>
      <c r="C1002" s="15" t="str">
        <f aca="false">IF(A1002="","",IFERROR(INDEX(FX!$B:$B,MATCH(A1002,FX!$A:$A,1)),""))</f>
        <v/>
      </c>
      <c r="D1002" s="14" t="str">
        <f aca="false">IF(A1002="","",SUMIFS(Transactions!$D:$D,Transactions!$A:$A,"&lt;="&amp;A1002,Transactions!$B:$B,Settings!$B$1))</f>
        <v/>
      </c>
      <c r="E1002" s="14" t="str">
        <f aca="false">IF(A1002="","",SUMIFS(Transactions!$C:$C,Transactions!$A:$A,"&lt;="&amp;A1002,Transactions!$B:$B,Settings!$B$1)+SUMIFS(Transactions!$F:$F,Transactions!$A:$A,"&lt;="&amp;A1002,Transactions!$B:$B,Settings!$B$1))</f>
        <v/>
      </c>
      <c r="F1002" s="14" t="str">
        <f aca="false">IF(A1002="","",IF(C1002="","",D1002*B1002*C1002))</f>
        <v/>
      </c>
      <c r="G1002" s="14" t="str">
        <f aca="false">IF(F1002="","",F1002-E1002)</f>
        <v/>
      </c>
      <c r="H1002" s="14" t="str">
        <f aca="false">IF(F1002="","",IFERROR(F1002-F1001-(E1002-E1001),0))</f>
        <v/>
      </c>
    </row>
    <row r="1003" customFormat="false" ht="15" hidden="false" customHeight="false" outlineLevel="0" collapsed="false">
      <c r="A1003" s="13" t="str">
        <f aca="false">IF(Prices!A1003="","",Prices!A1003)</f>
        <v/>
      </c>
      <c r="B1003" s="14" t="str">
        <f aca="false">IF(A1003="","",Prices!C1003)</f>
        <v/>
      </c>
      <c r="C1003" s="15" t="str">
        <f aca="false">IF(A1003="","",IFERROR(INDEX(FX!$B:$B,MATCH(A1003,FX!$A:$A,1)),""))</f>
        <v/>
      </c>
      <c r="D1003" s="14" t="str">
        <f aca="false">IF(A1003="","",SUMIFS(Transactions!$D:$D,Transactions!$A:$A,"&lt;="&amp;A1003,Transactions!$B:$B,Settings!$B$1))</f>
        <v/>
      </c>
      <c r="E1003" s="14" t="str">
        <f aca="false">IF(A1003="","",SUMIFS(Transactions!$C:$C,Transactions!$A:$A,"&lt;="&amp;A1003,Transactions!$B:$B,Settings!$B$1)+SUMIFS(Transactions!$F:$F,Transactions!$A:$A,"&lt;="&amp;A1003,Transactions!$B:$B,Settings!$B$1))</f>
        <v/>
      </c>
      <c r="F1003" s="14" t="str">
        <f aca="false">IF(A1003="","",IF(C1003="","",D1003*B1003*C1003))</f>
        <v/>
      </c>
      <c r="G1003" s="14" t="str">
        <f aca="false">IF(F1003="","",F1003-E1003)</f>
        <v/>
      </c>
      <c r="H1003" s="14" t="str">
        <f aca="false">IF(F1003="","",IFERROR(F1003-F1002-(E1003-E1002),0))</f>
        <v/>
      </c>
    </row>
    <row r="1004" customFormat="false" ht="15" hidden="false" customHeight="false" outlineLevel="0" collapsed="false">
      <c r="A1004" s="13" t="str">
        <f aca="false">IF(Prices!A1004="","",Prices!A1004)</f>
        <v/>
      </c>
      <c r="B1004" s="14" t="str">
        <f aca="false">IF(A1004="","",Prices!C1004)</f>
        <v/>
      </c>
      <c r="C1004" s="15" t="str">
        <f aca="false">IF(A1004="","",IFERROR(INDEX(FX!$B:$B,MATCH(A1004,FX!$A:$A,1)),""))</f>
        <v/>
      </c>
      <c r="D1004" s="14" t="str">
        <f aca="false">IF(A1004="","",SUMIFS(Transactions!$D:$D,Transactions!$A:$A,"&lt;="&amp;A1004,Transactions!$B:$B,Settings!$B$1))</f>
        <v/>
      </c>
      <c r="E1004" s="14" t="str">
        <f aca="false">IF(A1004="","",SUMIFS(Transactions!$C:$C,Transactions!$A:$A,"&lt;="&amp;A1004,Transactions!$B:$B,Settings!$B$1)+SUMIFS(Transactions!$F:$F,Transactions!$A:$A,"&lt;="&amp;A1004,Transactions!$B:$B,Settings!$B$1))</f>
        <v/>
      </c>
      <c r="F1004" s="14" t="str">
        <f aca="false">IF(A1004="","",IF(C1004="","",D1004*B1004*C1004))</f>
        <v/>
      </c>
      <c r="G1004" s="14" t="str">
        <f aca="false">IF(F1004="","",F1004-E1004)</f>
        <v/>
      </c>
      <c r="H1004" s="14" t="str">
        <f aca="false">IF(F1004="","",IFERROR(F1004-F1003-(E1004-E1003),0))</f>
        <v/>
      </c>
    </row>
    <row r="1005" customFormat="false" ht="15" hidden="false" customHeight="false" outlineLevel="0" collapsed="false">
      <c r="A1005" s="13" t="str">
        <f aca="false">IF(Prices!A1005="","",Prices!A1005)</f>
        <v/>
      </c>
      <c r="B1005" s="14" t="str">
        <f aca="false">IF(A1005="","",Prices!C1005)</f>
        <v/>
      </c>
      <c r="C1005" s="15" t="str">
        <f aca="false">IF(A1005="","",IFERROR(INDEX(FX!$B:$B,MATCH(A1005,FX!$A:$A,1)),""))</f>
        <v/>
      </c>
      <c r="D1005" s="14" t="str">
        <f aca="false">IF(A1005="","",SUMIFS(Transactions!$D:$D,Transactions!$A:$A,"&lt;="&amp;A1005,Transactions!$B:$B,Settings!$B$1))</f>
        <v/>
      </c>
      <c r="E1005" s="14" t="str">
        <f aca="false">IF(A1005="","",SUMIFS(Transactions!$C:$C,Transactions!$A:$A,"&lt;="&amp;A1005,Transactions!$B:$B,Settings!$B$1)+SUMIFS(Transactions!$F:$F,Transactions!$A:$A,"&lt;="&amp;A1005,Transactions!$B:$B,Settings!$B$1))</f>
        <v/>
      </c>
      <c r="F1005" s="14" t="str">
        <f aca="false">IF(A1005="","",IF(C1005="","",D1005*B1005*C1005))</f>
        <v/>
      </c>
      <c r="G1005" s="14" t="str">
        <f aca="false">IF(F1005="","",F1005-E1005)</f>
        <v/>
      </c>
      <c r="H1005" s="14" t="str">
        <f aca="false">IF(F1005="","",IFERROR(F1005-F1004-(E1005-E1004),0))</f>
        <v/>
      </c>
    </row>
    <row r="1006" customFormat="false" ht="15" hidden="false" customHeight="false" outlineLevel="0" collapsed="false">
      <c r="A1006" s="13" t="str">
        <f aca="false">IF(Prices!A1006="","",Prices!A1006)</f>
        <v/>
      </c>
      <c r="B1006" s="14" t="str">
        <f aca="false">IF(A1006="","",Prices!C1006)</f>
        <v/>
      </c>
      <c r="C1006" s="15" t="str">
        <f aca="false">IF(A1006="","",IFERROR(INDEX(FX!$B:$B,MATCH(A1006,FX!$A:$A,1)),""))</f>
        <v/>
      </c>
      <c r="D1006" s="14" t="str">
        <f aca="false">IF(A1006="","",SUMIFS(Transactions!$D:$D,Transactions!$A:$A,"&lt;="&amp;A1006,Transactions!$B:$B,Settings!$B$1))</f>
        <v/>
      </c>
      <c r="E1006" s="14" t="str">
        <f aca="false">IF(A1006="","",SUMIFS(Transactions!$C:$C,Transactions!$A:$A,"&lt;="&amp;A1006,Transactions!$B:$B,Settings!$B$1)+SUMIFS(Transactions!$F:$F,Transactions!$A:$A,"&lt;="&amp;A1006,Transactions!$B:$B,Settings!$B$1))</f>
        <v/>
      </c>
      <c r="F1006" s="14" t="str">
        <f aca="false">IF(A1006="","",IF(C1006="","",D1006*B1006*C1006))</f>
        <v/>
      </c>
      <c r="G1006" s="14" t="str">
        <f aca="false">IF(F1006="","",F1006-E1006)</f>
        <v/>
      </c>
      <c r="H1006" s="14" t="str">
        <f aca="false">IF(F1006="","",IFERROR(F1006-F1005-(E1006-E1005),0))</f>
        <v/>
      </c>
    </row>
    <row r="1007" customFormat="false" ht="15" hidden="false" customHeight="false" outlineLevel="0" collapsed="false">
      <c r="A1007" s="13" t="str">
        <f aca="false">IF(Prices!A1007="","",Prices!A1007)</f>
        <v/>
      </c>
      <c r="B1007" s="14" t="str">
        <f aca="false">IF(A1007="","",Prices!C1007)</f>
        <v/>
      </c>
      <c r="C1007" s="15" t="str">
        <f aca="false">IF(A1007="","",IFERROR(INDEX(FX!$B:$B,MATCH(A1007,FX!$A:$A,1)),""))</f>
        <v/>
      </c>
      <c r="D1007" s="14" t="str">
        <f aca="false">IF(A1007="","",SUMIFS(Transactions!$D:$D,Transactions!$A:$A,"&lt;="&amp;A1007,Transactions!$B:$B,Settings!$B$1))</f>
        <v/>
      </c>
      <c r="E1007" s="14" t="str">
        <f aca="false">IF(A1007="","",SUMIFS(Transactions!$C:$C,Transactions!$A:$A,"&lt;="&amp;A1007,Transactions!$B:$B,Settings!$B$1)+SUMIFS(Transactions!$F:$F,Transactions!$A:$A,"&lt;="&amp;A1007,Transactions!$B:$B,Settings!$B$1))</f>
        <v/>
      </c>
      <c r="F1007" s="14" t="str">
        <f aca="false">IF(A1007="","",IF(C1007="","",D1007*B1007*C1007))</f>
        <v/>
      </c>
      <c r="G1007" s="14" t="str">
        <f aca="false">IF(F1007="","",F1007-E1007)</f>
        <v/>
      </c>
      <c r="H1007" s="14" t="str">
        <f aca="false">IF(F1007="","",IFERROR(F1007-F1006-(E1007-E1006),0))</f>
        <v/>
      </c>
    </row>
    <row r="1008" customFormat="false" ht="15" hidden="false" customHeight="false" outlineLevel="0" collapsed="false">
      <c r="A1008" s="13" t="str">
        <f aca="false">IF(Prices!A1008="","",Prices!A1008)</f>
        <v/>
      </c>
      <c r="B1008" s="14" t="str">
        <f aca="false">IF(A1008="","",Prices!C1008)</f>
        <v/>
      </c>
      <c r="C1008" s="15" t="str">
        <f aca="false">IF(A1008="","",IFERROR(INDEX(FX!$B:$B,MATCH(A1008,FX!$A:$A,1)),""))</f>
        <v/>
      </c>
      <c r="D1008" s="14" t="str">
        <f aca="false">IF(A1008="","",SUMIFS(Transactions!$D:$D,Transactions!$A:$A,"&lt;="&amp;A1008,Transactions!$B:$B,Settings!$B$1))</f>
        <v/>
      </c>
      <c r="E1008" s="14" t="str">
        <f aca="false">IF(A1008="","",SUMIFS(Transactions!$C:$C,Transactions!$A:$A,"&lt;="&amp;A1008,Transactions!$B:$B,Settings!$B$1)+SUMIFS(Transactions!$F:$F,Transactions!$A:$A,"&lt;="&amp;A1008,Transactions!$B:$B,Settings!$B$1))</f>
        <v/>
      </c>
      <c r="F1008" s="14" t="str">
        <f aca="false">IF(A1008="","",IF(C1008="","",D1008*B1008*C1008))</f>
        <v/>
      </c>
      <c r="G1008" s="14" t="str">
        <f aca="false">IF(F1008="","",F1008-E1008)</f>
        <v/>
      </c>
      <c r="H1008" s="14" t="str">
        <f aca="false">IF(F1008="","",IFERROR(F1008-F1007-(E1008-E1007),0))</f>
        <v/>
      </c>
    </row>
    <row r="1009" customFormat="false" ht="15" hidden="false" customHeight="false" outlineLevel="0" collapsed="false">
      <c r="A1009" s="13" t="str">
        <f aca="false">IF(Prices!A1009="","",Prices!A1009)</f>
        <v/>
      </c>
      <c r="B1009" s="14" t="str">
        <f aca="false">IF(A1009="","",Prices!C1009)</f>
        <v/>
      </c>
      <c r="C1009" s="15" t="str">
        <f aca="false">IF(A1009="","",IFERROR(INDEX(FX!$B:$B,MATCH(A1009,FX!$A:$A,1)),""))</f>
        <v/>
      </c>
      <c r="D1009" s="14" t="str">
        <f aca="false">IF(A1009="","",SUMIFS(Transactions!$D:$D,Transactions!$A:$A,"&lt;="&amp;A1009,Transactions!$B:$B,Settings!$B$1))</f>
        <v/>
      </c>
      <c r="E1009" s="14" t="str">
        <f aca="false">IF(A1009="","",SUMIFS(Transactions!$C:$C,Transactions!$A:$A,"&lt;="&amp;A1009,Transactions!$B:$B,Settings!$B$1)+SUMIFS(Transactions!$F:$F,Transactions!$A:$A,"&lt;="&amp;A1009,Transactions!$B:$B,Settings!$B$1))</f>
        <v/>
      </c>
      <c r="F1009" s="14" t="str">
        <f aca="false">IF(A1009="","",IF(C1009="","",D1009*B1009*C1009))</f>
        <v/>
      </c>
      <c r="G1009" s="14" t="str">
        <f aca="false">IF(F1009="","",F1009-E1009)</f>
        <v/>
      </c>
      <c r="H1009" s="14" t="str">
        <f aca="false">IF(F1009="","",IFERROR(F1009-F1008-(E1009-E1008),0))</f>
        <v/>
      </c>
    </row>
    <row r="1010" customFormat="false" ht="15" hidden="false" customHeight="false" outlineLevel="0" collapsed="false">
      <c r="A1010" s="13" t="str">
        <f aca="false">IF(Prices!A1010="","",Prices!A1010)</f>
        <v/>
      </c>
      <c r="B1010" s="14" t="str">
        <f aca="false">IF(A1010="","",Prices!C1010)</f>
        <v/>
      </c>
      <c r="C1010" s="15" t="str">
        <f aca="false">IF(A1010="","",IFERROR(INDEX(FX!$B:$B,MATCH(A1010,FX!$A:$A,1)),""))</f>
        <v/>
      </c>
      <c r="D1010" s="14" t="str">
        <f aca="false">IF(A1010="","",SUMIFS(Transactions!$D:$D,Transactions!$A:$A,"&lt;="&amp;A1010,Transactions!$B:$B,Settings!$B$1))</f>
        <v/>
      </c>
      <c r="E1010" s="14" t="str">
        <f aca="false">IF(A1010="","",SUMIFS(Transactions!$C:$C,Transactions!$A:$A,"&lt;="&amp;A1010,Transactions!$B:$B,Settings!$B$1)+SUMIFS(Transactions!$F:$F,Transactions!$A:$A,"&lt;="&amp;A1010,Transactions!$B:$B,Settings!$B$1))</f>
        <v/>
      </c>
      <c r="F1010" s="14" t="str">
        <f aca="false">IF(A1010="","",IF(C1010="","",D1010*B1010*C1010))</f>
        <v/>
      </c>
      <c r="G1010" s="14" t="str">
        <f aca="false">IF(F1010="","",F1010-E1010)</f>
        <v/>
      </c>
      <c r="H1010" s="14" t="str">
        <f aca="false">IF(F1010="","",IFERROR(F1010-F1009-(E1010-E1009),0))</f>
        <v/>
      </c>
    </row>
    <row r="1011" customFormat="false" ht="15" hidden="false" customHeight="false" outlineLevel="0" collapsed="false">
      <c r="A1011" s="13" t="str">
        <f aca="false">IF(Prices!A1011="","",Prices!A1011)</f>
        <v/>
      </c>
      <c r="B1011" s="14" t="str">
        <f aca="false">IF(A1011="","",Prices!C1011)</f>
        <v/>
      </c>
      <c r="C1011" s="15" t="str">
        <f aca="false">IF(A1011="","",IFERROR(INDEX(FX!$B:$B,MATCH(A1011,FX!$A:$A,1)),""))</f>
        <v/>
      </c>
      <c r="D1011" s="14" t="str">
        <f aca="false">IF(A1011="","",SUMIFS(Transactions!$D:$D,Transactions!$A:$A,"&lt;="&amp;A1011,Transactions!$B:$B,Settings!$B$1))</f>
        <v/>
      </c>
      <c r="E1011" s="14" t="str">
        <f aca="false">IF(A1011="","",SUMIFS(Transactions!$C:$C,Transactions!$A:$A,"&lt;="&amp;A1011,Transactions!$B:$B,Settings!$B$1)+SUMIFS(Transactions!$F:$F,Transactions!$A:$A,"&lt;="&amp;A1011,Transactions!$B:$B,Settings!$B$1))</f>
        <v/>
      </c>
      <c r="F1011" s="14" t="str">
        <f aca="false">IF(A1011="","",IF(C1011="","",D1011*B1011*C1011))</f>
        <v/>
      </c>
      <c r="G1011" s="14" t="str">
        <f aca="false">IF(F1011="","",F1011-E1011)</f>
        <v/>
      </c>
      <c r="H1011" s="14" t="str">
        <f aca="false">IF(F1011="","",IFERROR(F1011-F1010-(E1011-E1010),0))</f>
        <v/>
      </c>
    </row>
    <row r="1012" customFormat="false" ht="15" hidden="false" customHeight="false" outlineLevel="0" collapsed="false">
      <c r="A1012" s="13" t="str">
        <f aca="false">IF(Prices!A1012="","",Prices!A1012)</f>
        <v/>
      </c>
      <c r="B1012" s="14" t="str">
        <f aca="false">IF(A1012="","",Prices!C1012)</f>
        <v/>
      </c>
      <c r="C1012" s="15" t="str">
        <f aca="false">IF(A1012="","",IFERROR(INDEX(FX!$B:$B,MATCH(A1012,FX!$A:$A,1)),""))</f>
        <v/>
      </c>
      <c r="D1012" s="14" t="str">
        <f aca="false">IF(A1012="","",SUMIFS(Transactions!$D:$D,Transactions!$A:$A,"&lt;="&amp;A1012,Transactions!$B:$B,Settings!$B$1))</f>
        <v/>
      </c>
      <c r="E1012" s="14" t="str">
        <f aca="false">IF(A1012="","",SUMIFS(Transactions!$C:$C,Transactions!$A:$A,"&lt;="&amp;A1012,Transactions!$B:$B,Settings!$B$1)+SUMIFS(Transactions!$F:$F,Transactions!$A:$A,"&lt;="&amp;A1012,Transactions!$B:$B,Settings!$B$1))</f>
        <v/>
      </c>
      <c r="F1012" s="14" t="str">
        <f aca="false">IF(A1012="","",IF(C1012="","",D1012*B1012*C1012))</f>
        <v/>
      </c>
      <c r="G1012" s="14" t="str">
        <f aca="false">IF(F1012="","",F1012-E1012)</f>
        <v/>
      </c>
      <c r="H1012" s="14" t="str">
        <f aca="false">IF(F1012="","",IFERROR(F1012-F1011-(E1012-E1011),0))</f>
        <v/>
      </c>
    </row>
    <row r="1013" customFormat="false" ht="15" hidden="false" customHeight="false" outlineLevel="0" collapsed="false">
      <c r="A1013" s="13" t="str">
        <f aca="false">IF(Prices!A1013="","",Prices!A1013)</f>
        <v/>
      </c>
      <c r="B1013" s="14" t="str">
        <f aca="false">IF(A1013="","",Prices!C1013)</f>
        <v/>
      </c>
      <c r="C1013" s="15" t="str">
        <f aca="false">IF(A1013="","",IFERROR(INDEX(FX!$B:$B,MATCH(A1013,FX!$A:$A,1)),""))</f>
        <v/>
      </c>
      <c r="D1013" s="14" t="str">
        <f aca="false">IF(A1013="","",SUMIFS(Transactions!$D:$D,Transactions!$A:$A,"&lt;="&amp;A1013,Transactions!$B:$B,Settings!$B$1))</f>
        <v/>
      </c>
      <c r="E1013" s="14" t="str">
        <f aca="false">IF(A1013="","",SUMIFS(Transactions!$C:$C,Transactions!$A:$A,"&lt;="&amp;A1013,Transactions!$B:$B,Settings!$B$1)+SUMIFS(Transactions!$F:$F,Transactions!$A:$A,"&lt;="&amp;A1013,Transactions!$B:$B,Settings!$B$1))</f>
        <v/>
      </c>
      <c r="F1013" s="14" t="str">
        <f aca="false">IF(A1013="","",IF(C1013="","",D1013*B1013*C1013))</f>
        <v/>
      </c>
      <c r="G1013" s="14" t="str">
        <f aca="false">IF(F1013="","",F1013-E1013)</f>
        <v/>
      </c>
      <c r="H1013" s="14" t="str">
        <f aca="false">IF(F1013="","",IFERROR(F1013-F1012-(E1013-E1012),0))</f>
        <v/>
      </c>
    </row>
    <row r="1014" customFormat="false" ht="15" hidden="false" customHeight="false" outlineLevel="0" collapsed="false">
      <c r="A1014" s="13" t="str">
        <f aca="false">IF(Prices!A1014="","",Prices!A1014)</f>
        <v/>
      </c>
      <c r="B1014" s="14" t="str">
        <f aca="false">IF(A1014="","",Prices!C1014)</f>
        <v/>
      </c>
      <c r="C1014" s="15" t="str">
        <f aca="false">IF(A1014="","",IFERROR(INDEX(FX!$B:$B,MATCH(A1014,FX!$A:$A,1)),""))</f>
        <v/>
      </c>
      <c r="D1014" s="14" t="str">
        <f aca="false">IF(A1014="","",SUMIFS(Transactions!$D:$D,Transactions!$A:$A,"&lt;="&amp;A1014,Transactions!$B:$B,Settings!$B$1))</f>
        <v/>
      </c>
      <c r="E1014" s="14" t="str">
        <f aca="false">IF(A1014="","",SUMIFS(Transactions!$C:$C,Transactions!$A:$A,"&lt;="&amp;A1014,Transactions!$B:$B,Settings!$B$1)+SUMIFS(Transactions!$F:$F,Transactions!$A:$A,"&lt;="&amp;A1014,Transactions!$B:$B,Settings!$B$1))</f>
        <v/>
      </c>
      <c r="F1014" s="14" t="str">
        <f aca="false">IF(A1014="","",IF(C1014="","",D1014*B1014*C1014))</f>
        <v/>
      </c>
      <c r="G1014" s="14" t="str">
        <f aca="false">IF(F1014="","",F1014-E1014)</f>
        <v/>
      </c>
      <c r="H1014" s="14" t="str">
        <f aca="false">IF(F1014="","",IFERROR(F1014-F1013-(E1014-E1013),0))</f>
        <v/>
      </c>
    </row>
    <row r="1015" customFormat="false" ht="15" hidden="false" customHeight="false" outlineLevel="0" collapsed="false">
      <c r="A1015" s="13" t="str">
        <f aca="false">IF(Prices!A1015="","",Prices!A1015)</f>
        <v/>
      </c>
      <c r="B1015" s="14" t="str">
        <f aca="false">IF(A1015="","",Prices!C1015)</f>
        <v/>
      </c>
      <c r="C1015" s="15" t="str">
        <f aca="false">IF(A1015="","",IFERROR(INDEX(FX!$B:$B,MATCH(A1015,FX!$A:$A,1)),""))</f>
        <v/>
      </c>
      <c r="D1015" s="14" t="str">
        <f aca="false">IF(A1015="","",SUMIFS(Transactions!$D:$D,Transactions!$A:$A,"&lt;="&amp;A1015,Transactions!$B:$B,Settings!$B$1))</f>
        <v/>
      </c>
      <c r="E1015" s="14" t="str">
        <f aca="false">IF(A1015="","",SUMIFS(Transactions!$C:$C,Transactions!$A:$A,"&lt;="&amp;A1015,Transactions!$B:$B,Settings!$B$1)+SUMIFS(Transactions!$F:$F,Transactions!$A:$A,"&lt;="&amp;A1015,Transactions!$B:$B,Settings!$B$1))</f>
        <v/>
      </c>
      <c r="F1015" s="14" t="str">
        <f aca="false">IF(A1015="","",IF(C1015="","",D1015*B1015*C1015))</f>
        <v/>
      </c>
      <c r="G1015" s="14" t="str">
        <f aca="false">IF(F1015="","",F1015-E1015)</f>
        <v/>
      </c>
      <c r="H1015" s="14" t="str">
        <f aca="false">IF(F1015="","",IFERROR(F1015-F1014-(E1015-E1014),0))</f>
        <v/>
      </c>
    </row>
    <row r="1016" customFormat="false" ht="15" hidden="false" customHeight="false" outlineLevel="0" collapsed="false">
      <c r="A1016" s="13" t="str">
        <f aca="false">IF(Prices!A1016="","",Prices!A1016)</f>
        <v/>
      </c>
      <c r="B1016" s="14" t="str">
        <f aca="false">IF(A1016="","",Prices!C1016)</f>
        <v/>
      </c>
      <c r="C1016" s="15" t="str">
        <f aca="false">IF(A1016="","",IFERROR(INDEX(FX!$B:$B,MATCH(A1016,FX!$A:$A,1)),""))</f>
        <v/>
      </c>
      <c r="D1016" s="14" t="str">
        <f aca="false">IF(A1016="","",SUMIFS(Transactions!$D:$D,Transactions!$A:$A,"&lt;="&amp;A1016,Transactions!$B:$B,Settings!$B$1))</f>
        <v/>
      </c>
      <c r="E1016" s="14" t="str">
        <f aca="false">IF(A1016="","",SUMIFS(Transactions!$C:$C,Transactions!$A:$A,"&lt;="&amp;A1016,Transactions!$B:$B,Settings!$B$1)+SUMIFS(Transactions!$F:$F,Transactions!$A:$A,"&lt;="&amp;A1016,Transactions!$B:$B,Settings!$B$1))</f>
        <v/>
      </c>
      <c r="F1016" s="14" t="str">
        <f aca="false">IF(A1016="","",IF(C1016="","",D1016*B1016*C1016))</f>
        <v/>
      </c>
      <c r="G1016" s="14" t="str">
        <f aca="false">IF(F1016="","",F1016-E1016)</f>
        <v/>
      </c>
      <c r="H1016" s="14" t="str">
        <f aca="false">IF(F1016="","",IFERROR(F1016-F1015-(E1016-E1015),0))</f>
        <v/>
      </c>
    </row>
    <row r="1017" customFormat="false" ht="15" hidden="false" customHeight="false" outlineLevel="0" collapsed="false">
      <c r="A1017" s="13" t="str">
        <f aca="false">IF(Prices!A1017="","",Prices!A1017)</f>
        <v/>
      </c>
      <c r="B1017" s="14" t="str">
        <f aca="false">IF(A1017="","",Prices!C1017)</f>
        <v/>
      </c>
      <c r="C1017" s="15" t="str">
        <f aca="false">IF(A1017="","",IFERROR(INDEX(FX!$B:$B,MATCH(A1017,FX!$A:$A,1)),""))</f>
        <v/>
      </c>
      <c r="D1017" s="14" t="str">
        <f aca="false">IF(A1017="","",SUMIFS(Transactions!$D:$D,Transactions!$A:$A,"&lt;="&amp;A1017,Transactions!$B:$B,Settings!$B$1))</f>
        <v/>
      </c>
      <c r="E1017" s="14" t="str">
        <f aca="false">IF(A1017="","",SUMIFS(Transactions!$C:$C,Transactions!$A:$A,"&lt;="&amp;A1017,Transactions!$B:$B,Settings!$B$1)+SUMIFS(Transactions!$F:$F,Transactions!$A:$A,"&lt;="&amp;A1017,Transactions!$B:$B,Settings!$B$1))</f>
        <v/>
      </c>
      <c r="F1017" s="14" t="str">
        <f aca="false">IF(A1017="","",IF(C1017="","",D1017*B1017*C1017))</f>
        <v/>
      </c>
      <c r="G1017" s="14" t="str">
        <f aca="false">IF(F1017="","",F1017-E1017)</f>
        <v/>
      </c>
      <c r="H1017" s="14" t="str">
        <f aca="false">IF(F1017="","",IFERROR(F1017-F1016-(E1017-E1016),0))</f>
        <v/>
      </c>
    </row>
    <row r="1018" customFormat="false" ht="15" hidden="false" customHeight="false" outlineLevel="0" collapsed="false">
      <c r="A1018" s="13" t="str">
        <f aca="false">IF(Prices!A1018="","",Prices!A1018)</f>
        <v/>
      </c>
      <c r="B1018" s="14" t="str">
        <f aca="false">IF(A1018="","",Prices!C1018)</f>
        <v/>
      </c>
      <c r="C1018" s="15" t="str">
        <f aca="false">IF(A1018="","",IFERROR(INDEX(FX!$B:$B,MATCH(A1018,FX!$A:$A,1)),""))</f>
        <v/>
      </c>
      <c r="D1018" s="14" t="str">
        <f aca="false">IF(A1018="","",SUMIFS(Transactions!$D:$D,Transactions!$A:$A,"&lt;="&amp;A1018,Transactions!$B:$B,Settings!$B$1))</f>
        <v/>
      </c>
      <c r="E1018" s="14" t="str">
        <f aca="false">IF(A1018="","",SUMIFS(Transactions!$C:$C,Transactions!$A:$A,"&lt;="&amp;A1018,Transactions!$B:$B,Settings!$B$1)+SUMIFS(Transactions!$F:$F,Transactions!$A:$A,"&lt;="&amp;A1018,Transactions!$B:$B,Settings!$B$1))</f>
        <v/>
      </c>
      <c r="F1018" s="14" t="str">
        <f aca="false">IF(A1018="","",IF(C1018="","",D1018*B1018*C1018))</f>
        <v/>
      </c>
      <c r="G1018" s="14" t="str">
        <f aca="false">IF(F1018="","",F1018-E1018)</f>
        <v/>
      </c>
      <c r="H1018" s="14" t="str">
        <f aca="false">IF(F1018="","",IFERROR(F1018-F1017-(E1018-E1017),0))</f>
        <v/>
      </c>
    </row>
    <row r="1019" customFormat="false" ht="15" hidden="false" customHeight="false" outlineLevel="0" collapsed="false">
      <c r="A1019" s="13" t="str">
        <f aca="false">IF(Prices!A1019="","",Prices!A1019)</f>
        <v/>
      </c>
      <c r="B1019" s="14" t="str">
        <f aca="false">IF(A1019="","",Prices!C1019)</f>
        <v/>
      </c>
      <c r="C1019" s="15" t="str">
        <f aca="false">IF(A1019="","",IFERROR(INDEX(FX!$B:$B,MATCH(A1019,FX!$A:$A,1)),""))</f>
        <v/>
      </c>
      <c r="D1019" s="14" t="str">
        <f aca="false">IF(A1019="","",SUMIFS(Transactions!$D:$D,Transactions!$A:$A,"&lt;="&amp;A1019,Transactions!$B:$B,Settings!$B$1))</f>
        <v/>
      </c>
      <c r="E1019" s="14" t="str">
        <f aca="false">IF(A1019="","",SUMIFS(Transactions!$C:$C,Transactions!$A:$A,"&lt;="&amp;A1019,Transactions!$B:$B,Settings!$B$1)+SUMIFS(Transactions!$F:$F,Transactions!$A:$A,"&lt;="&amp;A1019,Transactions!$B:$B,Settings!$B$1))</f>
        <v/>
      </c>
      <c r="F1019" s="14" t="str">
        <f aca="false">IF(A1019="","",IF(C1019="","",D1019*B1019*C1019))</f>
        <v/>
      </c>
      <c r="G1019" s="14" t="str">
        <f aca="false">IF(F1019="","",F1019-E1019)</f>
        <v/>
      </c>
      <c r="H1019" s="14" t="str">
        <f aca="false">IF(F1019="","",IFERROR(F1019-F1018-(E1019-E1018),0))</f>
        <v/>
      </c>
    </row>
    <row r="1020" customFormat="false" ht="15" hidden="false" customHeight="false" outlineLevel="0" collapsed="false">
      <c r="A1020" s="13" t="str">
        <f aca="false">IF(Prices!A1020="","",Prices!A1020)</f>
        <v/>
      </c>
      <c r="B1020" s="14" t="str">
        <f aca="false">IF(A1020="","",Prices!C1020)</f>
        <v/>
      </c>
      <c r="C1020" s="15" t="str">
        <f aca="false">IF(A1020="","",IFERROR(INDEX(FX!$B:$B,MATCH(A1020,FX!$A:$A,1)),""))</f>
        <v/>
      </c>
      <c r="D1020" s="14" t="str">
        <f aca="false">IF(A1020="","",SUMIFS(Transactions!$D:$D,Transactions!$A:$A,"&lt;="&amp;A1020,Transactions!$B:$B,Settings!$B$1))</f>
        <v/>
      </c>
      <c r="E1020" s="14" t="str">
        <f aca="false">IF(A1020="","",SUMIFS(Transactions!$C:$C,Transactions!$A:$A,"&lt;="&amp;A1020,Transactions!$B:$B,Settings!$B$1)+SUMIFS(Transactions!$F:$F,Transactions!$A:$A,"&lt;="&amp;A1020,Transactions!$B:$B,Settings!$B$1))</f>
        <v/>
      </c>
      <c r="F1020" s="14" t="str">
        <f aca="false">IF(A1020="","",IF(C1020="","",D1020*B1020*C1020))</f>
        <v/>
      </c>
      <c r="G1020" s="14" t="str">
        <f aca="false">IF(F1020="","",F1020-E1020)</f>
        <v/>
      </c>
      <c r="H1020" s="14" t="str">
        <f aca="false">IF(F1020="","",IFERROR(F1020-F1019-(E1020-E1019),0))</f>
        <v/>
      </c>
    </row>
    <row r="1021" customFormat="false" ht="15" hidden="false" customHeight="false" outlineLevel="0" collapsed="false">
      <c r="A1021" s="13" t="str">
        <f aca="false">IF(Prices!A1021="","",Prices!A1021)</f>
        <v/>
      </c>
      <c r="B1021" s="14" t="str">
        <f aca="false">IF(A1021="","",Prices!C1021)</f>
        <v/>
      </c>
      <c r="C1021" s="15" t="str">
        <f aca="false">IF(A1021="","",IFERROR(INDEX(FX!$B:$B,MATCH(A1021,FX!$A:$A,1)),""))</f>
        <v/>
      </c>
      <c r="D1021" s="14" t="str">
        <f aca="false">IF(A1021="","",SUMIFS(Transactions!$D:$D,Transactions!$A:$A,"&lt;="&amp;A1021,Transactions!$B:$B,Settings!$B$1))</f>
        <v/>
      </c>
      <c r="E1021" s="14" t="str">
        <f aca="false">IF(A1021="","",SUMIFS(Transactions!$C:$C,Transactions!$A:$A,"&lt;="&amp;A1021,Transactions!$B:$B,Settings!$B$1)+SUMIFS(Transactions!$F:$F,Transactions!$A:$A,"&lt;="&amp;A1021,Transactions!$B:$B,Settings!$B$1))</f>
        <v/>
      </c>
      <c r="F1021" s="14" t="str">
        <f aca="false">IF(A1021="","",IF(C1021="","",D1021*B1021*C1021))</f>
        <v/>
      </c>
      <c r="G1021" s="14" t="str">
        <f aca="false">IF(F1021="","",F1021-E1021)</f>
        <v/>
      </c>
      <c r="H1021" s="14" t="str">
        <f aca="false">IF(F1021="","",IFERROR(F1021-F1020-(E1021-E1020),0))</f>
        <v/>
      </c>
    </row>
    <row r="1022" customFormat="false" ht="15" hidden="false" customHeight="false" outlineLevel="0" collapsed="false">
      <c r="A1022" s="13" t="str">
        <f aca="false">IF(Prices!A1022="","",Prices!A1022)</f>
        <v/>
      </c>
      <c r="B1022" s="14" t="str">
        <f aca="false">IF(A1022="","",Prices!C1022)</f>
        <v/>
      </c>
      <c r="C1022" s="15" t="str">
        <f aca="false">IF(A1022="","",IFERROR(INDEX(FX!$B:$B,MATCH(A1022,FX!$A:$A,1)),""))</f>
        <v/>
      </c>
      <c r="D1022" s="14" t="str">
        <f aca="false">IF(A1022="","",SUMIFS(Transactions!$D:$D,Transactions!$A:$A,"&lt;="&amp;A1022,Transactions!$B:$B,Settings!$B$1))</f>
        <v/>
      </c>
      <c r="E1022" s="14" t="str">
        <f aca="false">IF(A1022="","",SUMIFS(Transactions!$C:$C,Transactions!$A:$A,"&lt;="&amp;A1022,Transactions!$B:$B,Settings!$B$1)+SUMIFS(Transactions!$F:$F,Transactions!$A:$A,"&lt;="&amp;A1022,Transactions!$B:$B,Settings!$B$1))</f>
        <v/>
      </c>
      <c r="F1022" s="14" t="str">
        <f aca="false">IF(A1022="","",IF(C1022="","",D1022*B1022*C1022))</f>
        <v/>
      </c>
      <c r="G1022" s="14" t="str">
        <f aca="false">IF(F1022="","",F1022-E1022)</f>
        <v/>
      </c>
      <c r="H1022" s="14" t="str">
        <f aca="false">IF(F1022="","",IFERROR(F1022-F1021-(E1022-E1021),0))</f>
        <v/>
      </c>
    </row>
    <row r="1023" customFormat="false" ht="15" hidden="false" customHeight="false" outlineLevel="0" collapsed="false">
      <c r="A1023" s="13" t="str">
        <f aca="false">IF(Prices!A1023="","",Prices!A1023)</f>
        <v/>
      </c>
      <c r="B1023" s="14" t="str">
        <f aca="false">IF(A1023="","",Prices!C1023)</f>
        <v/>
      </c>
      <c r="C1023" s="15" t="str">
        <f aca="false">IF(A1023="","",IFERROR(INDEX(FX!$B:$B,MATCH(A1023,FX!$A:$A,1)),""))</f>
        <v/>
      </c>
      <c r="D1023" s="14" t="str">
        <f aca="false">IF(A1023="","",SUMIFS(Transactions!$D:$D,Transactions!$A:$A,"&lt;="&amp;A1023,Transactions!$B:$B,Settings!$B$1))</f>
        <v/>
      </c>
      <c r="E1023" s="14" t="str">
        <f aca="false">IF(A1023="","",SUMIFS(Transactions!$C:$C,Transactions!$A:$A,"&lt;="&amp;A1023,Transactions!$B:$B,Settings!$B$1)+SUMIFS(Transactions!$F:$F,Transactions!$A:$A,"&lt;="&amp;A1023,Transactions!$B:$B,Settings!$B$1))</f>
        <v/>
      </c>
      <c r="F1023" s="14" t="str">
        <f aca="false">IF(A1023="","",IF(C1023="","",D1023*B1023*C1023))</f>
        <v/>
      </c>
      <c r="G1023" s="14" t="str">
        <f aca="false">IF(F1023="","",F1023-E1023)</f>
        <v/>
      </c>
      <c r="H1023" s="14" t="str">
        <f aca="false">IF(F1023="","",IFERROR(F1023-F1022-(E1023-E1022),0))</f>
        <v/>
      </c>
    </row>
    <row r="1024" customFormat="false" ht="15" hidden="false" customHeight="false" outlineLevel="0" collapsed="false">
      <c r="A1024" s="13" t="str">
        <f aca="false">IF(Prices!A1024="","",Prices!A1024)</f>
        <v/>
      </c>
      <c r="B1024" s="14" t="str">
        <f aca="false">IF(A1024="","",Prices!C1024)</f>
        <v/>
      </c>
      <c r="C1024" s="15" t="str">
        <f aca="false">IF(A1024="","",IFERROR(INDEX(FX!$B:$B,MATCH(A1024,FX!$A:$A,1)),""))</f>
        <v/>
      </c>
      <c r="D1024" s="14" t="str">
        <f aca="false">IF(A1024="","",SUMIFS(Transactions!$D:$D,Transactions!$A:$A,"&lt;="&amp;A1024,Transactions!$B:$B,Settings!$B$1))</f>
        <v/>
      </c>
      <c r="E1024" s="14" t="str">
        <f aca="false">IF(A1024="","",SUMIFS(Transactions!$C:$C,Transactions!$A:$A,"&lt;="&amp;A1024,Transactions!$B:$B,Settings!$B$1)+SUMIFS(Transactions!$F:$F,Transactions!$A:$A,"&lt;="&amp;A1024,Transactions!$B:$B,Settings!$B$1))</f>
        <v/>
      </c>
      <c r="F1024" s="14" t="str">
        <f aca="false">IF(A1024="","",IF(C1024="","",D1024*B1024*C1024))</f>
        <v/>
      </c>
      <c r="G1024" s="14" t="str">
        <f aca="false">IF(F1024="","",F1024-E1024)</f>
        <v/>
      </c>
      <c r="H1024" s="14" t="str">
        <f aca="false">IF(F1024="","",IFERROR(F1024-F1023-(E1024-E1023),0))</f>
        <v/>
      </c>
    </row>
    <row r="1025" customFormat="false" ht="15" hidden="false" customHeight="false" outlineLevel="0" collapsed="false">
      <c r="A1025" s="13" t="str">
        <f aca="false">IF(Prices!A1025="","",Prices!A1025)</f>
        <v/>
      </c>
      <c r="B1025" s="14" t="str">
        <f aca="false">IF(A1025="","",Prices!C1025)</f>
        <v/>
      </c>
      <c r="C1025" s="15" t="str">
        <f aca="false">IF(A1025="","",IFERROR(INDEX(FX!$B:$B,MATCH(A1025,FX!$A:$A,1)),""))</f>
        <v/>
      </c>
      <c r="D1025" s="14" t="str">
        <f aca="false">IF(A1025="","",SUMIFS(Transactions!$D:$D,Transactions!$A:$A,"&lt;="&amp;A1025,Transactions!$B:$B,Settings!$B$1))</f>
        <v/>
      </c>
      <c r="E1025" s="14" t="str">
        <f aca="false">IF(A1025="","",SUMIFS(Transactions!$C:$C,Transactions!$A:$A,"&lt;="&amp;A1025,Transactions!$B:$B,Settings!$B$1)+SUMIFS(Transactions!$F:$F,Transactions!$A:$A,"&lt;="&amp;A1025,Transactions!$B:$B,Settings!$B$1))</f>
        <v/>
      </c>
      <c r="F1025" s="14" t="str">
        <f aca="false">IF(A1025="","",IF(C1025="","",D1025*B1025*C1025))</f>
        <v/>
      </c>
      <c r="G1025" s="14" t="str">
        <f aca="false">IF(F1025="","",F1025-E1025)</f>
        <v/>
      </c>
      <c r="H1025" s="14" t="str">
        <f aca="false">IF(F1025="","",IFERROR(F1025-F1024-(E1025-E1024),0))</f>
        <v/>
      </c>
    </row>
    <row r="1026" customFormat="false" ht="15" hidden="false" customHeight="false" outlineLevel="0" collapsed="false">
      <c r="A1026" s="13" t="str">
        <f aca="false">IF(Prices!A1026="","",Prices!A1026)</f>
        <v/>
      </c>
      <c r="B1026" s="14" t="str">
        <f aca="false">IF(A1026="","",Prices!C1026)</f>
        <v/>
      </c>
      <c r="C1026" s="15" t="str">
        <f aca="false">IF(A1026="","",IFERROR(INDEX(FX!$B:$B,MATCH(A1026,FX!$A:$A,1)),""))</f>
        <v/>
      </c>
      <c r="D1026" s="14" t="str">
        <f aca="false">IF(A1026="","",SUMIFS(Transactions!$D:$D,Transactions!$A:$A,"&lt;="&amp;A1026,Transactions!$B:$B,Settings!$B$1))</f>
        <v/>
      </c>
      <c r="E1026" s="14" t="str">
        <f aca="false">IF(A1026="","",SUMIFS(Transactions!$C:$C,Transactions!$A:$A,"&lt;="&amp;A1026,Transactions!$B:$B,Settings!$B$1)+SUMIFS(Transactions!$F:$F,Transactions!$A:$A,"&lt;="&amp;A1026,Transactions!$B:$B,Settings!$B$1))</f>
        <v/>
      </c>
      <c r="F1026" s="14" t="str">
        <f aca="false">IF(A1026="","",IF(C1026="","",D1026*B1026*C1026))</f>
        <v/>
      </c>
      <c r="G1026" s="14" t="str">
        <f aca="false">IF(F1026="","",F1026-E1026)</f>
        <v/>
      </c>
      <c r="H1026" s="14" t="str">
        <f aca="false">IF(F1026="","",IFERROR(F1026-F1025-(E1026-E1025),0))</f>
        <v/>
      </c>
    </row>
    <row r="1027" customFormat="false" ht="15" hidden="false" customHeight="false" outlineLevel="0" collapsed="false">
      <c r="A1027" s="13" t="str">
        <f aca="false">IF(Prices!A1027="","",Prices!A1027)</f>
        <v/>
      </c>
      <c r="B1027" s="14" t="str">
        <f aca="false">IF(A1027="","",Prices!C1027)</f>
        <v/>
      </c>
      <c r="C1027" s="15" t="str">
        <f aca="false">IF(A1027="","",IFERROR(INDEX(FX!$B:$B,MATCH(A1027,FX!$A:$A,1)),""))</f>
        <v/>
      </c>
      <c r="D1027" s="14" t="str">
        <f aca="false">IF(A1027="","",SUMIFS(Transactions!$D:$D,Transactions!$A:$A,"&lt;="&amp;A1027,Transactions!$B:$B,Settings!$B$1))</f>
        <v/>
      </c>
      <c r="E1027" s="14" t="str">
        <f aca="false">IF(A1027="","",SUMIFS(Transactions!$C:$C,Transactions!$A:$A,"&lt;="&amp;A1027,Transactions!$B:$B,Settings!$B$1)+SUMIFS(Transactions!$F:$F,Transactions!$A:$A,"&lt;="&amp;A1027,Transactions!$B:$B,Settings!$B$1))</f>
        <v/>
      </c>
      <c r="F1027" s="14" t="str">
        <f aca="false">IF(A1027="","",IF(C1027="","",D1027*B1027*C1027))</f>
        <v/>
      </c>
      <c r="G1027" s="14" t="str">
        <f aca="false">IF(F1027="","",F1027-E1027)</f>
        <v/>
      </c>
      <c r="H1027" s="14" t="str">
        <f aca="false">IF(F1027="","",IFERROR(F1027-F1026-(E1027-E1026),0))</f>
        <v/>
      </c>
    </row>
    <row r="1028" customFormat="false" ht="15" hidden="false" customHeight="false" outlineLevel="0" collapsed="false">
      <c r="A1028" s="13" t="str">
        <f aca="false">IF(Prices!A1028="","",Prices!A1028)</f>
        <v/>
      </c>
      <c r="B1028" s="14" t="str">
        <f aca="false">IF(A1028="","",Prices!C1028)</f>
        <v/>
      </c>
      <c r="C1028" s="15" t="str">
        <f aca="false">IF(A1028="","",IFERROR(INDEX(FX!$B:$B,MATCH(A1028,FX!$A:$A,1)),""))</f>
        <v/>
      </c>
      <c r="D1028" s="14" t="str">
        <f aca="false">IF(A1028="","",SUMIFS(Transactions!$D:$D,Transactions!$A:$A,"&lt;="&amp;A1028,Transactions!$B:$B,Settings!$B$1))</f>
        <v/>
      </c>
      <c r="E1028" s="14" t="str">
        <f aca="false">IF(A1028="","",SUMIFS(Transactions!$C:$C,Transactions!$A:$A,"&lt;="&amp;A1028,Transactions!$B:$B,Settings!$B$1)+SUMIFS(Transactions!$F:$F,Transactions!$A:$A,"&lt;="&amp;A1028,Transactions!$B:$B,Settings!$B$1))</f>
        <v/>
      </c>
      <c r="F1028" s="14" t="str">
        <f aca="false">IF(A1028="","",IF(C1028="","",D1028*B1028*C1028))</f>
        <v/>
      </c>
      <c r="G1028" s="14" t="str">
        <f aca="false">IF(F1028="","",F1028-E1028)</f>
        <v/>
      </c>
      <c r="H1028" s="14" t="str">
        <f aca="false">IF(F1028="","",IFERROR(F1028-F1027-(E1028-E1027),0))</f>
        <v/>
      </c>
    </row>
    <row r="1029" customFormat="false" ht="15" hidden="false" customHeight="false" outlineLevel="0" collapsed="false">
      <c r="A1029" s="13" t="str">
        <f aca="false">IF(Prices!A1029="","",Prices!A1029)</f>
        <v/>
      </c>
      <c r="B1029" s="14" t="str">
        <f aca="false">IF(A1029="","",Prices!C1029)</f>
        <v/>
      </c>
      <c r="C1029" s="15" t="str">
        <f aca="false">IF(A1029="","",IFERROR(INDEX(FX!$B:$B,MATCH(A1029,FX!$A:$A,1)),""))</f>
        <v/>
      </c>
      <c r="D1029" s="14" t="str">
        <f aca="false">IF(A1029="","",SUMIFS(Transactions!$D:$D,Transactions!$A:$A,"&lt;="&amp;A1029,Transactions!$B:$B,Settings!$B$1))</f>
        <v/>
      </c>
      <c r="E1029" s="14" t="str">
        <f aca="false">IF(A1029="","",SUMIFS(Transactions!$C:$C,Transactions!$A:$A,"&lt;="&amp;A1029,Transactions!$B:$B,Settings!$B$1)+SUMIFS(Transactions!$F:$F,Transactions!$A:$A,"&lt;="&amp;A1029,Transactions!$B:$B,Settings!$B$1))</f>
        <v/>
      </c>
      <c r="F1029" s="14" t="str">
        <f aca="false">IF(A1029="","",IF(C1029="","",D1029*B1029*C1029))</f>
        <v/>
      </c>
      <c r="G1029" s="14" t="str">
        <f aca="false">IF(F1029="","",F1029-E1029)</f>
        <v/>
      </c>
      <c r="H1029" s="14" t="str">
        <f aca="false">IF(F1029="","",IFERROR(F1029-F1028-(E1029-E1028),0))</f>
        <v/>
      </c>
    </row>
    <row r="1030" customFormat="false" ht="15" hidden="false" customHeight="false" outlineLevel="0" collapsed="false">
      <c r="A1030" s="13" t="str">
        <f aca="false">IF(Prices!A1030="","",Prices!A1030)</f>
        <v/>
      </c>
      <c r="B1030" s="14" t="str">
        <f aca="false">IF(A1030="","",Prices!C1030)</f>
        <v/>
      </c>
      <c r="C1030" s="15" t="str">
        <f aca="false">IF(A1030="","",IFERROR(INDEX(FX!$B:$B,MATCH(A1030,FX!$A:$A,1)),""))</f>
        <v/>
      </c>
      <c r="D1030" s="14" t="str">
        <f aca="false">IF(A1030="","",SUMIFS(Transactions!$D:$D,Transactions!$A:$A,"&lt;="&amp;A1030,Transactions!$B:$B,Settings!$B$1))</f>
        <v/>
      </c>
      <c r="E1030" s="14" t="str">
        <f aca="false">IF(A1030="","",SUMIFS(Transactions!$C:$C,Transactions!$A:$A,"&lt;="&amp;A1030,Transactions!$B:$B,Settings!$B$1)+SUMIFS(Transactions!$F:$F,Transactions!$A:$A,"&lt;="&amp;A1030,Transactions!$B:$B,Settings!$B$1))</f>
        <v/>
      </c>
      <c r="F1030" s="14" t="str">
        <f aca="false">IF(A1030="","",IF(C1030="","",D1030*B1030*C1030))</f>
        <v/>
      </c>
      <c r="G1030" s="14" t="str">
        <f aca="false">IF(F1030="","",F1030-E1030)</f>
        <v/>
      </c>
      <c r="H1030" s="14" t="str">
        <f aca="false">IF(F1030="","",IFERROR(F1030-F1029-(E1030-E1029),0))</f>
        <v/>
      </c>
    </row>
    <row r="1031" customFormat="false" ht="15" hidden="false" customHeight="false" outlineLevel="0" collapsed="false">
      <c r="A1031" s="13" t="str">
        <f aca="false">IF(Prices!A1031="","",Prices!A1031)</f>
        <v/>
      </c>
      <c r="B1031" s="14" t="str">
        <f aca="false">IF(A1031="","",Prices!C1031)</f>
        <v/>
      </c>
      <c r="C1031" s="15" t="str">
        <f aca="false">IF(A1031="","",IFERROR(INDEX(FX!$B:$B,MATCH(A1031,FX!$A:$A,1)),""))</f>
        <v/>
      </c>
      <c r="D1031" s="14" t="str">
        <f aca="false">IF(A1031="","",SUMIFS(Transactions!$D:$D,Transactions!$A:$A,"&lt;="&amp;A1031,Transactions!$B:$B,Settings!$B$1))</f>
        <v/>
      </c>
      <c r="E1031" s="14" t="str">
        <f aca="false">IF(A1031="","",SUMIFS(Transactions!$C:$C,Transactions!$A:$A,"&lt;="&amp;A1031,Transactions!$B:$B,Settings!$B$1)+SUMIFS(Transactions!$F:$F,Transactions!$A:$A,"&lt;="&amp;A1031,Transactions!$B:$B,Settings!$B$1))</f>
        <v/>
      </c>
      <c r="F1031" s="14" t="str">
        <f aca="false">IF(A1031="","",IF(C1031="","",D1031*B1031*C1031))</f>
        <v/>
      </c>
      <c r="G1031" s="14" t="str">
        <f aca="false">IF(F1031="","",F1031-E1031)</f>
        <v/>
      </c>
      <c r="H1031" s="14" t="str">
        <f aca="false">IF(F1031="","",IFERROR(F1031-F1030-(E1031-E1030),0))</f>
        <v/>
      </c>
    </row>
    <row r="1032" customFormat="false" ht="15" hidden="false" customHeight="false" outlineLevel="0" collapsed="false">
      <c r="A1032" s="13" t="str">
        <f aca="false">IF(Prices!A1032="","",Prices!A1032)</f>
        <v/>
      </c>
      <c r="B1032" s="14" t="str">
        <f aca="false">IF(A1032="","",Prices!C1032)</f>
        <v/>
      </c>
      <c r="C1032" s="15" t="str">
        <f aca="false">IF(A1032="","",IFERROR(INDEX(FX!$B:$B,MATCH(A1032,FX!$A:$A,1)),""))</f>
        <v/>
      </c>
      <c r="D1032" s="14" t="str">
        <f aca="false">IF(A1032="","",SUMIFS(Transactions!$D:$D,Transactions!$A:$A,"&lt;="&amp;A1032,Transactions!$B:$B,Settings!$B$1))</f>
        <v/>
      </c>
      <c r="E1032" s="14" t="str">
        <f aca="false">IF(A1032="","",SUMIFS(Transactions!$C:$C,Transactions!$A:$A,"&lt;="&amp;A1032,Transactions!$B:$B,Settings!$B$1)+SUMIFS(Transactions!$F:$F,Transactions!$A:$A,"&lt;="&amp;A1032,Transactions!$B:$B,Settings!$B$1))</f>
        <v/>
      </c>
      <c r="F1032" s="14" t="str">
        <f aca="false">IF(A1032="","",IF(C1032="","",D1032*B1032*C1032))</f>
        <v/>
      </c>
      <c r="G1032" s="14" t="str">
        <f aca="false">IF(F1032="","",F1032-E1032)</f>
        <v/>
      </c>
      <c r="H1032" s="14" t="str">
        <f aca="false">IF(F1032="","",IFERROR(F1032-F1031-(E1032-E1031),0))</f>
        <v/>
      </c>
    </row>
    <row r="1033" customFormat="false" ht="15" hidden="false" customHeight="false" outlineLevel="0" collapsed="false">
      <c r="A1033" s="13" t="str">
        <f aca="false">IF(Prices!A1033="","",Prices!A1033)</f>
        <v/>
      </c>
      <c r="B1033" s="14" t="str">
        <f aca="false">IF(A1033="","",Prices!C1033)</f>
        <v/>
      </c>
      <c r="C1033" s="15" t="str">
        <f aca="false">IF(A1033="","",IFERROR(INDEX(FX!$B:$B,MATCH(A1033,FX!$A:$A,1)),""))</f>
        <v/>
      </c>
      <c r="D1033" s="14" t="str">
        <f aca="false">IF(A1033="","",SUMIFS(Transactions!$D:$D,Transactions!$A:$A,"&lt;="&amp;A1033,Transactions!$B:$B,Settings!$B$1))</f>
        <v/>
      </c>
      <c r="E1033" s="14" t="str">
        <f aca="false">IF(A1033="","",SUMIFS(Transactions!$C:$C,Transactions!$A:$A,"&lt;="&amp;A1033,Transactions!$B:$B,Settings!$B$1)+SUMIFS(Transactions!$F:$F,Transactions!$A:$A,"&lt;="&amp;A1033,Transactions!$B:$B,Settings!$B$1))</f>
        <v/>
      </c>
      <c r="F1033" s="14" t="str">
        <f aca="false">IF(A1033="","",IF(C1033="","",D1033*B1033*C1033))</f>
        <v/>
      </c>
      <c r="G1033" s="14" t="str">
        <f aca="false">IF(F1033="","",F1033-E1033)</f>
        <v/>
      </c>
      <c r="H1033" s="14" t="str">
        <f aca="false">IF(F1033="","",IFERROR(F1033-F1032-(E1033-E1032),0))</f>
        <v/>
      </c>
    </row>
    <row r="1034" customFormat="false" ht="15" hidden="false" customHeight="false" outlineLevel="0" collapsed="false">
      <c r="A1034" s="13" t="str">
        <f aca="false">IF(Prices!A1034="","",Prices!A1034)</f>
        <v/>
      </c>
      <c r="B1034" s="14" t="str">
        <f aca="false">IF(A1034="","",Prices!C1034)</f>
        <v/>
      </c>
      <c r="C1034" s="15" t="str">
        <f aca="false">IF(A1034="","",IFERROR(INDEX(FX!$B:$B,MATCH(A1034,FX!$A:$A,1)),""))</f>
        <v/>
      </c>
      <c r="D1034" s="14" t="str">
        <f aca="false">IF(A1034="","",SUMIFS(Transactions!$D:$D,Transactions!$A:$A,"&lt;="&amp;A1034,Transactions!$B:$B,Settings!$B$1))</f>
        <v/>
      </c>
      <c r="E1034" s="14" t="str">
        <f aca="false">IF(A1034="","",SUMIFS(Transactions!$C:$C,Transactions!$A:$A,"&lt;="&amp;A1034,Transactions!$B:$B,Settings!$B$1)+SUMIFS(Transactions!$F:$F,Transactions!$A:$A,"&lt;="&amp;A1034,Transactions!$B:$B,Settings!$B$1))</f>
        <v/>
      </c>
      <c r="F1034" s="14" t="str">
        <f aca="false">IF(A1034="","",IF(C1034="","",D1034*B1034*C1034))</f>
        <v/>
      </c>
      <c r="G1034" s="14" t="str">
        <f aca="false">IF(F1034="","",F1034-E1034)</f>
        <v/>
      </c>
      <c r="H1034" s="14" t="str">
        <f aca="false">IF(F1034="","",IFERROR(F1034-F1033-(E1034-E1033),0))</f>
        <v/>
      </c>
    </row>
    <row r="1035" customFormat="false" ht="15" hidden="false" customHeight="false" outlineLevel="0" collapsed="false">
      <c r="A1035" s="13" t="str">
        <f aca="false">IF(Prices!A1035="","",Prices!A1035)</f>
        <v/>
      </c>
      <c r="B1035" s="14" t="str">
        <f aca="false">IF(A1035="","",Prices!C1035)</f>
        <v/>
      </c>
      <c r="C1035" s="15" t="str">
        <f aca="false">IF(A1035="","",IFERROR(INDEX(FX!$B:$B,MATCH(A1035,FX!$A:$A,1)),""))</f>
        <v/>
      </c>
      <c r="D1035" s="14" t="str">
        <f aca="false">IF(A1035="","",SUMIFS(Transactions!$D:$D,Transactions!$A:$A,"&lt;="&amp;A1035,Transactions!$B:$B,Settings!$B$1))</f>
        <v/>
      </c>
      <c r="E1035" s="14" t="str">
        <f aca="false">IF(A1035="","",SUMIFS(Transactions!$C:$C,Transactions!$A:$A,"&lt;="&amp;A1035,Transactions!$B:$B,Settings!$B$1)+SUMIFS(Transactions!$F:$F,Transactions!$A:$A,"&lt;="&amp;A1035,Transactions!$B:$B,Settings!$B$1))</f>
        <v/>
      </c>
      <c r="F1035" s="14" t="str">
        <f aca="false">IF(A1035="","",IF(C1035="","",D1035*B1035*C1035))</f>
        <v/>
      </c>
      <c r="G1035" s="14" t="str">
        <f aca="false">IF(F1035="","",F1035-E1035)</f>
        <v/>
      </c>
      <c r="H1035" s="14" t="str">
        <f aca="false">IF(F1035="","",IFERROR(F1035-F1034-(E1035-E1034),0))</f>
        <v/>
      </c>
    </row>
    <row r="1036" customFormat="false" ht="15" hidden="false" customHeight="false" outlineLevel="0" collapsed="false">
      <c r="A1036" s="13" t="str">
        <f aca="false">IF(Prices!A1036="","",Prices!A1036)</f>
        <v/>
      </c>
      <c r="B1036" s="14" t="str">
        <f aca="false">IF(A1036="","",Prices!C1036)</f>
        <v/>
      </c>
      <c r="C1036" s="15" t="str">
        <f aca="false">IF(A1036="","",IFERROR(INDEX(FX!$B:$B,MATCH(A1036,FX!$A:$A,1)),""))</f>
        <v/>
      </c>
      <c r="D1036" s="14" t="str">
        <f aca="false">IF(A1036="","",SUMIFS(Transactions!$D:$D,Transactions!$A:$A,"&lt;="&amp;A1036,Transactions!$B:$B,Settings!$B$1))</f>
        <v/>
      </c>
      <c r="E1036" s="14" t="str">
        <f aca="false">IF(A1036="","",SUMIFS(Transactions!$C:$C,Transactions!$A:$A,"&lt;="&amp;A1036,Transactions!$B:$B,Settings!$B$1)+SUMIFS(Transactions!$F:$F,Transactions!$A:$A,"&lt;="&amp;A1036,Transactions!$B:$B,Settings!$B$1))</f>
        <v/>
      </c>
      <c r="F1036" s="14" t="str">
        <f aca="false">IF(A1036="","",IF(C1036="","",D1036*B1036*C1036))</f>
        <v/>
      </c>
      <c r="G1036" s="14" t="str">
        <f aca="false">IF(F1036="","",F1036-E1036)</f>
        <v/>
      </c>
      <c r="H1036" s="14" t="str">
        <f aca="false">IF(F1036="","",IFERROR(F1036-F1035-(E1036-E1035),0))</f>
        <v/>
      </c>
    </row>
    <row r="1037" customFormat="false" ht="15" hidden="false" customHeight="false" outlineLevel="0" collapsed="false">
      <c r="A1037" s="13" t="str">
        <f aca="false">IF(Prices!A1037="","",Prices!A1037)</f>
        <v/>
      </c>
      <c r="B1037" s="14" t="str">
        <f aca="false">IF(A1037="","",Prices!C1037)</f>
        <v/>
      </c>
      <c r="C1037" s="15" t="str">
        <f aca="false">IF(A1037="","",IFERROR(INDEX(FX!$B:$B,MATCH(A1037,FX!$A:$A,1)),""))</f>
        <v/>
      </c>
      <c r="D1037" s="14" t="str">
        <f aca="false">IF(A1037="","",SUMIFS(Transactions!$D:$D,Transactions!$A:$A,"&lt;="&amp;A1037,Transactions!$B:$B,Settings!$B$1))</f>
        <v/>
      </c>
      <c r="E1037" s="14" t="str">
        <f aca="false">IF(A1037="","",SUMIFS(Transactions!$C:$C,Transactions!$A:$A,"&lt;="&amp;A1037,Transactions!$B:$B,Settings!$B$1)+SUMIFS(Transactions!$F:$F,Transactions!$A:$A,"&lt;="&amp;A1037,Transactions!$B:$B,Settings!$B$1))</f>
        <v/>
      </c>
      <c r="F1037" s="14" t="str">
        <f aca="false">IF(A1037="","",IF(C1037="","",D1037*B1037*C1037))</f>
        <v/>
      </c>
      <c r="G1037" s="14" t="str">
        <f aca="false">IF(F1037="","",F1037-E1037)</f>
        <v/>
      </c>
      <c r="H1037" s="14" t="str">
        <f aca="false">IF(F1037="","",IFERROR(F1037-F1036-(E1037-E1036),0))</f>
        <v/>
      </c>
    </row>
    <row r="1038" customFormat="false" ht="15" hidden="false" customHeight="false" outlineLevel="0" collapsed="false">
      <c r="A1038" s="13" t="str">
        <f aca="false">IF(Prices!A1038="","",Prices!A1038)</f>
        <v/>
      </c>
      <c r="B1038" s="14" t="str">
        <f aca="false">IF(A1038="","",Prices!C1038)</f>
        <v/>
      </c>
      <c r="C1038" s="15" t="str">
        <f aca="false">IF(A1038="","",IFERROR(INDEX(FX!$B:$B,MATCH(A1038,FX!$A:$A,1)),""))</f>
        <v/>
      </c>
      <c r="D1038" s="14" t="str">
        <f aca="false">IF(A1038="","",SUMIFS(Transactions!$D:$D,Transactions!$A:$A,"&lt;="&amp;A1038,Transactions!$B:$B,Settings!$B$1))</f>
        <v/>
      </c>
      <c r="E1038" s="14" t="str">
        <f aca="false">IF(A1038="","",SUMIFS(Transactions!$C:$C,Transactions!$A:$A,"&lt;="&amp;A1038,Transactions!$B:$B,Settings!$B$1)+SUMIFS(Transactions!$F:$F,Transactions!$A:$A,"&lt;="&amp;A1038,Transactions!$B:$B,Settings!$B$1))</f>
        <v/>
      </c>
      <c r="F1038" s="14" t="str">
        <f aca="false">IF(A1038="","",IF(C1038="","",D1038*B1038*C1038))</f>
        <v/>
      </c>
      <c r="G1038" s="14" t="str">
        <f aca="false">IF(F1038="","",F1038-E1038)</f>
        <v/>
      </c>
      <c r="H1038" s="14" t="str">
        <f aca="false">IF(F1038="","",IFERROR(F1038-F1037-(E1038-E1037),0))</f>
        <v/>
      </c>
    </row>
    <row r="1039" customFormat="false" ht="15" hidden="false" customHeight="false" outlineLevel="0" collapsed="false">
      <c r="A1039" s="13" t="str">
        <f aca="false">IF(Prices!A1039="","",Prices!A1039)</f>
        <v/>
      </c>
      <c r="B1039" s="14" t="str">
        <f aca="false">IF(A1039="","",Prices!C1039)</f>
        <v/>
      </c>
      <c r="C1039" s="15" t="str">
        <f aca="false">IF(A1039="","",IFERROR(INDEX(FX!$B:$B,MATCH(A1039,FX!$A:$A,1)),""))</f>
        <v/>
      </c>
      <c r="D1039" s="14" t="str">
        <f aca="false">IF(A1039="","",SUMIFS(Transactions!$D:$D,Transactions!$A:$A,"&lt;="&amp;A1039,Transactions!$B:$B,Settings!$B$1))</f>
        <v/>
      </c>
      <c r="E1039" s="14" t="str">
        <f aca="false">IF(A1039="","",SUMIFS(Transactions!$C:$C,Transactions!$A:$A,"&lt;="&amp;A1039,Transactions!$B:$B,Settings!$B$1)+SUMIFS(Transactions!$F:$F,Transactions!$A:$A,"&lt;="&amp;A1039,Transactions!$B:$B,Settings!$B$1))</f>
        <v/>
      </c>
      <c r="F1039" s="14" t="str">
        <f aca="false">IF(A1039="","",IF(C1039="","",D1039*B1039*C1039))</f>
        <v/>
      </c>
      <c r="G1039" s="14" t="str">
        <f aca="false">IF(F1039="","",F1039-E1039)</f>
        <v/>
      </c>
      <c r="H1039" s="14" t="str">
        <f aca="false">IF(F1039="","",IFERROR(F1039-F1038-(E1039-E1038),0))</f>
        <v/>
      </c>
    </row>
    <row r="1040" customFormat="false" ht="15" hidden="false" customHeight="false" outlineLevel="0" collapsed="false">
      <c r="A1040" s="13" t="str">
        <f aca="false">IF(Prices!A1040="","",Prices!A1040)</f>
        <v/>
      </c>
      <c r="B1040" s="14" t="str">
        <f aca="false">IF(A1040="","",Prices!C1040)</f>
        <v/>
      </c>
      <c r="C1040" s="15" t="str">
        <f aca="false">IF(A1040="","",IFERROR(INDEX(FX!$B:$B,MATCH(A1040,FX!$A:$A,1)),""))</f>
        <v/>
      </c>
      <c r="D1040" s="14" t="str">
        <f aca="false">IF(A1040="","",SUMIFS(Transactions!$D:$D,Transactions!$A:$A,"&lt;="&amp;A1040,Transactions!$B:$B,Settings!$B$1))</f>
        <v/>
      </c>
      <c r="E1040" s="14" t="str">
        <f aca="false">IF(A1040="","",SUMIFS(Transactions!$C:$C,Transactions!$A:$A,"&lt;="&amp;A1040,Transactions!$B:$B,Settings!$B$1)+SUMIFS(Transactions!$F:$F,Transactions!$A:$A,"&lt;="&amp;A1040,Transactions!$B:$B,Settings!$B$1))</f>
        <v/>
      </c>
      <c r="F1040" s="14" t="str">
        <f aca="false">IF(A1040="","",IF(C1040="","",D1040*B1040*C1040))</f>
        <v/>
      </c>
      <c r="G1040" s="14" t="str">
        <f aca="false">IF(F1040="","",F1040-E1040)</f>
        <v/>
      </c>
      <c r="H1040" s="14" t="str">
        <f aca="false">IF(F1040="","",IFERROR(F1040-F1039-(E1040-E1039),0))</f>
        <v/>
      </c>
    </row>
    <row r="1041" customFormat="false" ht="15" hidden="false" customHeight="false" outlineLevel="0" collapsed="false">
      <c r="A1041" s="13" t="str">
        <f aca="false">IF(Prices!A1041="","",Prices!A1041)</f>
        <v/>
      </c>
      <c r="B1041" s="14" t="str">
        <f aca="false">IF(A1041="","",Prices!C1041)</f>
        <v/>
      </c>
      <c r="C1041" s="15" t="str">
        <f aca="false">IF(A1041="","",IFERROR(INDEX(FX!$B:$B,MATCH(A1041,FX!$A:$A,1)),""))</f>
        <v/>
      </c>
      <c r="D1041" s="14" t="str">
        <f aca="false">IF(A1041="","",SUMIFS(Transactions!$D:$D,Transactions!$A:$A,"&lt;="&amp;A1041,Transactions!$B:$B,Settings!$B$1))</f>
        <v/>
      </c>
      <c r="E1041" s="14" t="str">
        <f aca="false">IF(A1041="","",SUMIFS(Transactions!$C:$C,Transactions!$A:$A,"&lt;="&amp;A1041,Transactions!$B:$B,Settings!$B$1)+SUMIFS(Transactions!$F:$F,Transactions!$A:$A,"&lt;="&amp;A1041,Transactions!$B:$B,Settings!$B$1))</f>
        <v/>
      </c>
      <c r="F1041" s="14" t="str">
        <f aca="false">IF(A1041="","",IF(C1041="","",D1041*B1041*C1041))</f>
        <v/>
      </c>
      <c r="G1041" s="14" t="str">
        <f aca="false">IF(F1041="","",F1041-E1041)</f>
        <v/>
      </c>
      <c r="H1041" s="14" t="str">
        <f aca="false">IF(F1041="","",IFERROR(F1041-F1040-(E1041-E1040),0))</f>
        <v/>
      </c>
    </row>
    <row r="1042" customFormat="false" ht="15" hidden="false" customHeight="false" outlineLevel="0" collapsed="false">
      <c r="A1042" s="13" t="str">
        <f aca="false">IF(Prices!A1042="","",Prices!A1042)</f>
        <v/>
      </c>
      <c r="B1042" s="14" t="str">
        <f aca="false">IF(A1042="","",Prices!C1042)</f>
        <v/>
      </c>
      <c r="C1042" s="15" t="str">
        <f aca="false">IF(A1042="","",IFERROR(INDEX(FX!$B:$B,MATCH(A1042,FX!$A:$A,1)),""))</f>
        <v/>
      </c>
      <c r="D1042" s="14" t="str">
        <f aca="false">IF(A1042="","",SUMIFS(Transactions!$D:$D,Transactions!$A:$A,"&lt;="&amp;A1042,Transactions!$B:$B,Settings!$B$1))</f>
        <v/>
      </c>
      <c r="E1042" s="14" t="str">
        <f aca="false">IF(A1042="","",SUMIFS(Transactions!$C:$C,Transactions!$A:$A,"&lt;="&amp;A1042,Transactions!$B:$B,Settings!$B$1)+SUMIFS(Transactions!$F:$F,Transactions!$A:$A,"&lt;="&amp;A1042,Transactions!$B:$B,Settings!$B$1))</f>
        <v/>
      </c>
      <c r="F1042" s="14" t="str">
        <f aca="false">IF(A1042="","",IF(C1042="","",D1042*B1042*C1042))</f>
        <v/>
      </c>
      <c r="G1042" s="14" t="str">
        <f aca="false">IF(F1042="","",F1042-E1042)</f>
        <v/>
      </c>
      <c r="H1042" s="14" t="str">
        <f aca="false">IF(F1042="","",IFERROR(F1042-F1041-(E1042-E1041),0))</f>
        <v/>
      </c>
    </row>
    <row r="1043" customFormat="false" ht="15" hidden="false" customHeight="false" outlineLevel="0" collapsed="false">
      <c r="A1043" s="13" t="str">
        <f aca="false">IF(Prices!A1043="","",Prices!A1043)</f>
        <v/>
      </c>
      <c r="B1043" s="14" t="str">
        <f aca="false">IF(A1043="","",Prices!C1043)</f>
        <v/>
      </c>
      <c r="C1043" s="15" t="str">
        <f aca="false">IF(A1043="","",IFERROR(INDEX(FX!$B:$B,MATCH(A1043,FX!$A:$A,1)),""))</f>
        <v/>
      </c>
      <c r="D1043" s="14" t="str">
        <f aca="false">IF(A1043="","",SUMIFS(Transactions!$D:$D,Transactions!$A:$A,"&lt;="&amp;A1043,Transactions!$B:$B,Settings!$B$1))</f>
        <v/>
      </c>
      <c r="E1043" s="14" t="str">
        <f aca="false">IF(A1043="","",SUMIFS(Transactions!$C:$C,Transactions!$A:$A,"&lt;="&amp;A1043,Transactions!$B:$B,Settings!$B$1)+SUMIFS(Transactions!$F:$F,Transactions!$A:$A,"&lt;="&amp;A1043,Transactions!$B:$B,Settings!$B$1))</f>
        <v/>
      </c>
      <c r="F1043" s="14" t="str">
        <f aca="false">IF(A1043="","",IF(C1043="","",D1043*B1043*C1043))</f>
        <v/>
      </c>
      <c r="G1043" s="14" t="str">
        <f aca="false">IF(F1043="","",F1043-E1043)</f>
        <v/>
      </c>
      <c r="H1043" s="14" t="str">
        <f aca="false">IF(F1043="","",IFERROR(F1043-F1042-(E1043-E1042),0))</f>
        <v/>
      </c>
    </row>
    <row r="1044" customFormat="false" ht="15" hidden="false" customHeight="false" outlineLevel="0" collapsed="false">
      <c r="A1044" s="13" t="str">
        <f aca="false">IF(Prices!A1044="","",Prices!A1044)</f>
        <v/>
      </c>
      <c r="B1044" s="14" t="str">
        <f aca="false">IF(A1044="","",Prices!C1044)</f>
        <v/>
      </c>
      <c r="C1044" s="15" t="str">
        <f aca="false">IF(A1044="","",IFERROR(INDEX(FX!$B:$B,MATCH(A1044,FX!$A:$A,1)),""))</f>
        <v/>
      </c>
      <c r="D1044" s="14" t="str">
        <f aca="false">IF(A1044="","",SUMIFS(Transactions!$D:$D,Transactions!$A:$A,"&lt;="&amp;A1044,Transactions!$B:$B,Settings!$B$1))</f>
        <v/>
      </c>
      <c r="E1044" s="14" t="str">
        <f aca="false">IF(A1044="","",SUMIFS(Transactions!$C:$C,Transactions!$A:$A,"&lt;="&amp;A1044,Transactions!$B:$B,Settings!$B$1)+SUMIFS(Transactions!$F:$F,Transactions!$A:$A,"&lt;="&amp;A1044,Transactions!$B:$B,Settings!$B$1))</f>
        <v/>
      </c>
      <c r="F1044" s="14" t="str">
        <f aca="false">IF(A1044="","",IF(C1044="","",D1044*B1044*C1044))</f>
        <v/>
      </c>
      <c r="G1044" s="14" t="str">
        <f aca="false">IF(F1044="","",F1044-E1044)</f>
        <v/>
      </c>
      <c r="H1044" s="14" t="str">
        <f aca="false">IF(F1044="","",IFERROR(F1044-F1043-(E1044-E1043),0))</f>
        <v/>
      </c>
    </row>
    <row r="1045" customFormat="false" ht="15" hidden="false" customHeight="false" outlineLevel="0" collapsed="false">
      <c r="A1045" s="13" t="str">
        <f aca="false">IF(Prices!A1045="","",Prices!A1045)</f>
        <v/>
      </c>
      <c r="B1045" s="14" t="str">
        <f aca="false">IF(A1045="","",Prices!C1045)</f>
        <v/>
      </c>
      <c r="C1045" s="15" t="str">
        <f aca="false">IF(A1045="","",IFERROR(INDEX(FX!$B:$B,MATCH(A1045,FX!$A:$A,1)),""))</f>
        <v/>
      </c>
      <c r="D1045" s="14" t="str">
        <f aca="false">IF(A1045="","",SUMIFS(Transactions!$D:$D,Transactions!$A:$A,"&lt;="&amp;A1045,Transactions!$B:$B,Settings!$B$1))</f>
        <v/>
      </c>
      <c r="E1045" s="14" t="str">
        <f aca="false">IF(A1045="","",SUMIFS(Transactions!$C:$C,Transactions!$A:$A,"&lt;="&amp;A1045,Transactions!$B:$B,Settings!$B$1)+SUMIFS(Transactions!$F:$F,Transactions!$A:$A,"&lt;="&amp;A1045,Transactions!$B:$B,Settings!$B$1))</f>
        <v/>
      </c>
      <c r="F1045" s="14" t="str">
        <f aca="false">IF(A1045="","",IF(C1045="","",D1045*B1045*C1045))</f>
        <v/>
      </c>
      <c r="G1045" s="14" t="str">
        <f aca="false">IF(F1045="","",F1045-E1045)</f>
        <v/>
      </c>
      <c r="H1045" s="14" t="str">
        <f aca="false">IF(F1045="","",IFERROR(F1045-F1044-(E1045-E1044),0))</f>
        <v/>
      </c>
    </row>
    <row r="1046" customFormat="false" ht="15" hidden="false" customHeight="false" outlineLevel="0" collapsed="false">
      <c r="A1046" s="13" t="str">
        <f aca="false">IF(Prices!A1046="","",Prices!A1046)</f>
        <v/>
      </c>
      <c r="B1046" s="14" t="str">
        <f aca="false">IF(A1046="","",Prices!C1046)</f>
        <v/>
      </c>
      <c r="C1046" s="15" t="str">
        <f aca="false">IF(A1046="","",IFERROR(INDEX(FX!$B:$B,MATCH(A1046,FX!$A:$A,1)),""))</f>
        <v/>
      </c>
      <c r="D1046" s="14" t="str">
        <f aca="false">IF(A1046="","",SUMIFS(Transactions!$D:$D,Transactions!$A:$A,"&lt;="&amp;A1046,Transactions!$B:$B,Settings!$B$1))</f>
        <v/>
      </c>
      <c r="E1046" s="14" t="str">
        <f aca="false">IF(A1046="","",SUMIFS(Transactions!$C:$C,Transactions!$A:$A,"&lt;="&amp;A1046,Transactions!$B:$B,Settings!$B$1)+SUMIFS(Transactions!$F:$F,Transactions!$A:$A,"&lt;="&amp;A1046,Transactions!$B:$B,Settings!$B$1))</f>
        <v/>
      </c>
      <c r="F1046" s="14" t="str">
        <f aca="false">IF(A1046="","",IF(C1046="","",D1046*B1046*C1046))</f>
        <v/>
      </c>
      <c r="G1046" s="14" t="str">
        <f aca="false">IF(F1046="","",F1046-E1046)</f>
        <v/>
      </c>
      <c r="H1046" s="14" t="str">
        <f aca="false">IF(F1046="","",IFERROR(F1046-F1045-(E1046-E1045),0))</f>
        <v/>
      </c>
    </row>
    <row r="1047" customFormat="false" ht="15" hidden="false" customHeight="false" outlineLevel="0" collapsed="false">
      <c r="A1047" s="13" t="str">
        <f aca="false">IF(Prices!A1047="","",Prices!A1047)</f>
        <v/>
      </c>
      <c r="B1047" s="14" t="str">
        <f aca="false">IF(A1047="","",Prices!C1047)</f>
        <v/>
      </c>
      <c r="C1047" s="15" t="str">
        <f aca="false">IF(A1047="","",IFERROR(INDEX(FX!$B:$B,MATCH(A1047,FX!$A:$A,1)),""))</f>
        <v/>
      </c>
      <c r="D1047" s="14" t="str">
        <f aca="false">IF(A1047="","",SUMIFS(Transactions!$D:$D,Transactions!$A:$A,"&lt;="&amp;A1047,Transactions!$B:$B,Settings!$B$1))</f>
        <v/>
      </c>
      <c r="E1047" s="14" t="str">
        <f aca="false">IF(A1047="","",SUMIFS(Transactions!$C:$C,Transactions!$A:$A,"&lt;="&amp;A1047,Transactions!$B:$B,Settings!$B$1)+SUMIFS(Transactions!$F:$F,Transactions!$A:$A,"&lt;="&amp;A1047,Transactions!$B:$B,Settings!$B$1))</f>
        <v/>
      </c>
      <c r="F1047" s="14" t="str">
        <f aca="false">IF(A1047="","",IF(C1047="","",D1047*B1047*C1047))</f>
        <v/>
      </c>
      <c r="G1047" s="14" t="str">
        <f aca="false">IF(F1047="","",F1047-E1047)</f>
        <v/>
      </c>
      <c r="H1047" s="14" t="str">
        <f aca="false">IF(F1047="","",IFERROR(F1047-F1046-(E1047-E1046),0))</f>
        <v/>
      </c>
    </row>
    <row r="1048" customFormat="false" ht="15" hidden="false" customHeight="false" outlineLevel="0" collapsed="false">
      <c r="A1048" s="13" t="str">
        <f aca="false">IF(Prices!A1048="","",Prices!A1048)</f>
        <v/>
      </c>
      <c r="B1048" s="14" t="str">
        <f aca="false">IF(A1048="","",Prices!C1048)</f>
        <v/>
      </c>
      <c r="C1048" s="15" t="str">
        <f aca="false">IF(A1048="","",IFERROR(INDEX(FX!$B:$B,MATCH(A1048,FX!$A:$A,1)),""))</f>
        <v/>
      </c>
      <c r="D1048" s="14" t="str">
        <f aca="false">IF(A1048="","",SUMIFS(Transactions!$D:$D,Transactions!$A:$A,"&lt;="&amp;A1048,Transactions!$B:$B,Settings!$B$1))</f>
        <v/>
      </c>
      <c r="E1048" s="14" t="str">
        <f aca="false">IF(A1048="","",SUMIFS(Transactions!$C:$C,Transactions!$A:$A,"&lt;="&amp;A1048,Transactions!$B:$B,Settings!$B$1)+SUMIFS(Transactions!$F:$F,Transactions!$A:$A,"&lt;="&amp;A1048,Transactions!$B:$B,Settings!$B$1))</f>
        <v/>
      </c>
      <c r="F1048" s="14" t="str">
        <f aca="false">IF(A1048="","",IF(C1048="","",D1048*B1048*C1048))</f>
        <v/>
      </c>
      <c r="G1048" s="14" t="str">
        <f aca="false">IF(F1048="","",F1048-E1048)</f>
        <v/>
      </c>
      <c r="H1048" s="14" t="str">
        <f aca="false">IF(F1048="","",IFERROR(F1048-F1047-(E1048-E1047),0))</f>
        <v/>
      </c>
    </row>
    <row r="1049" customFormat="false" ht="15" hidden="false" customHeight="false" outlineLevel="0" collapsed="false">
      <c r="A1049" s="13" t="str">
        <f aca="false">IF(Prices!A1049="","",Prices!A1049)</f>
        <v/>
      </c>
      <c r="B1049" s="14" t="str">
        <f aca="false">IF(A1049="","",Prices!C1049)</f>
        <v/>
      </c>
      <c r="C1049" s="15" t="str">
        <f aca="false">IF(A1049="","",IFERROR(INDEX(FX!$B:$B,MATCH(A1049,FX!$A:$A,1)),""))</f>
        <v/>
      </c>
      <c r="D1049" s="14" t="str">
        <f aca="false">IF(A1049="","",SUMIFS(Transactions!$D:$D,Transactions!$A:$A,"&lt;="&amp;A1049,Transactions!$B:$B,Settings!$B$1))</f>
        <v/>
      </c>
      <c r="E1049" s="14" t="str">
        <f aca="false">IF(A1049="","",SUMIFS(Transactions!$C:$C,Transactions!$A:$A,"&lt;="&amp;A1049,Transactions!$B:$B,Settings!$B$1)+SUMIFS(Transactions!$F:$F,Transactions!$A:$A,"&lt;="&amp;A1049,Transactions!$B:$B,Settings!$B$1))</f>
        <v/>
      </c>
      <c r="F1049" s="14" t="str">
        <f aca="false">IF(A1049="","",IF(C1049="","",D1049*B1049*C1049))</f>
        <v/>
      </c>
      <c r="G1049" s="14" t="str">
        <f aca="false">IF(F1049="","",F1049-E1049)</f>
        <v/>
      </c>
      <c r="H1049" s="14" t="str">
        <f aca="false">IF(F1049="","",IFERROR(F1049-F1048-(E1049-E1048),0))</f>
        <v/>
      </c>
    </row>
    <row r="1050" customFormat="false" ht="15" hidden="false" customHeight="false" outlineLevel="0" collapsed="false">
      <c r="A1050" s="13" t="str">
        <f aca="false">IF(Prices!A1050="","",Prices!A1050)</f>
        <v/>
      </c>
      <c r="B1050" s="14" t="str">
        <f aca="false">IF(A1050="","",Prices!C1050)</f>
        <v/>
      </c>
      <c r="C1050" s="15" t="str">
        <f aca="false">IF(A1050="","",IFERROR(INDEX(FX!$B:$B,MATCH(A1050,FX!$A:$A,1)),""))</f>
        <v/>
      </c>
      <c r="D1050" s="14" t="str">
        <f aca="false">IF(A1050="","",SUMIFS(Transactions!$D:$D,Transactions!$A:$A,"&lt;="&amp;A1050,Transactions!$B:$B,Settings!$B$1))</f>
        <v/>
      </c>
      <c r="E1050" s="14" t="str">
        <f aca="false">IF(A1050="","",SUMIFS(Transactions!$C:$C,Transactions!$A:$A,"&lt;="&amp;A1050,Transactions!$B:$B,Settings!$B$1)+SUMIFS(Transactions!$F:$F,Transactions!$A:$A,"&lt;="&amp;A1050,Transactions!$B:$B,Settings!$B$1))</f>
        <v/>
      </c>
      <c r="F1050" s="14" t="str">
        <f aca="false">IF(A1050="","",IF(C1050="","",D1050*B1050*C1050))</f>
        <v/>
      </c>
      <c r="G1050" s="14" t="str">
        <f aca="false">IF(F1050="","",F1050-E1050)</f>
        <v/>
      </c>
      <c r="H1050" s="14" t="str">
        <f aca="false">IF(F1050="","",IFERROR(F1050-F1049-(E1050-E1049),0))</f>
        <v/>
      </c>
    </row>
    <row r="1051" customFormat="false" ht="15" hidden="false" customHeight="false" outlineLevel="0" collapsed="false">
      <c r="A1051" s="13" t="str">
        <f aca="false">IF(Prices!A1051="","",Prices!A1051)</f>
        <v/>
      </c>
      <c r="B1051" s="14" t="str">
        <f aca="false">IF(A1051="","",Prices!C1051)</f>
        <v/>
      </c>
      <c r="C1051" s="15" t="str">
        <f aca="false">IF(A1051="","",IFERROR(INDEX(FX!$B:$B,MATCH(A1051,FX!$A:$A,1)),""))</f>
        <v/>
      </c>
      <c r="D1051" s="14" t="str">
        <f aca="false">IF(A1051="","",SUMIFS(Transactions!$D:$D,Transactions!$A:$A,"&lt;="&amp;A1051,Transactions!$B:$B,Settings!$B$1))</f>
        <v/>
      </c>
      <c r="E1051" s="14" t="str">
        <f aca="false">IF(A1051="","",SUMIFS(Transactions!$C:$C,Transactions!$A:$A,"&lt;="&amp;A1051,Transactions!$B:$B,Settings!$B$1)+SUMIFS(Transactions!$F:$F,Transactions!$A:$A,"&lt;="&amp;A1051,Transactions!$B:$B,Settings!$B$1))</f>
        <v/>
      </c>
      <c r="F1051" s="14" t="str">
        <f aca="false">IF(A1051="","",IF(C1051="","",D1051*B1051*C1051))</f>
        <v/>
      </c>
      <c r="G1051" s="14" t="str">
        <f aca="false">IF(F1051="","",F1051-E1051)</f>
        <v/>
      </c>
      <c r="H1051" s="14" t="str">
        <f aca="false">IF(F1051="","",IFERROR(F1051-F1050-(E1051-E1050),0))</f>
        <v/>
      </c>
    </row>
    <row r="1052" customFormat="false" ht="15" hidden="false" customHeight="false" outlineLevel="0" collapsed="false">
      <c r="A1052" s="13" t="str">
        <f aca="false">IF(Prices!A1052="","",Prices!A1052)</f>
        <v/>
      </c>
      <c r="B1052" s="14" t="str">
        <f aca="false">IF(A1052="","",Prices!C1052)</f>
        <v/>
      </c>
      <c r="C1052" s="15" t="str">
        <f aca="false">IF(A1052="","",IFERROR(INDEX(FX!$B:$B,MATCH(A1052,FX!$A:$A,1)),""))</f>
        <v/>
      </c>
      <c r="D1052" s="14" t="str">
        <f aca="false">IF(A1052="","",SUMIFS(Transactions!$D:$D,Transactions!$A:$A,"&lt;="&amp;A1052,Transactions!$B:$B,Settings!$B$1))</f>
        <v/>
      </c>
      <c r="E1052" s="14" t="str">
        <f aca="false">IF(A1052="","",SUMIFS(Transactions!$C:$C,Transactions!$A:$A,"&lt;="&amp;A1052,Transactions!$B:$B,Settings!$B$1)+SUMIFS(Transactions!$F:$F,Transactions!$A:$A,"&lt;="&amp;A1052,Transactions!$B:$B,Settings!$B$1))</f>
        <v/>
      </c>
      <c r="F1052" s="14" t="str">
        <f aca="false">IF(A1052="","",IF(C1052="","",D1052*B1052*C1052))</f>
        <v/>
      </c>
      <c r="G1052" s="14" t="str">
        <f aca="false">IF(F1052="","",F1052-E1052)</f>
        <v/>
      </c>
      <c r="H1052" s="14" t="str">
        <f aca="false">IF(F1052="","",IFERROR(F1052-F1051-(E1052-E1051),0))</f>
        <v/>
      </c>
    </row>
    <row r="1053" customFormat="false" ht="15" hidden="false" customHeight="false" outlineLevel="0" collapsed="false">
      <c r="A1053" s="13" t="str">
        <f aca="false">IF(Prices!A1053="","",Prices!A1053)</f>
        <v/>
      </c>
      <c r="B1053" s="14" t="str">
        <f aca="false">IF(A1053="","",Prices!C1053)</f>
        <v/>
      </c>
      <c r="C1053" s="15" t="str">
        <f aca="false">IF(A1053="","",IFERROR(INDEX(FX!$B:$B,MATCH(A1053,FX!$A:$A,1)),""))</f>
        <v/>
      </c>
      <c r="D1053" s="14" t="str">
        <f aca="false">IF(A1053="","",SUMIFS(Transactions!$D:$D,Transactions!$A:$A,"&lt;="&amp;A1053,Transactions!$B:$B,Settings!$B$1))</f>
        <v/>
      </c>
      <c r="E1053" s="14" t="str">
        <f aca="false">IF(A1053="","",SUMIFS(Transactions!$C:$C,Transactions!$A:$A,"&lt;="&amp;A1053,Transactions!$B:$B,Settings!$B$1)+SUMIFS(Transactions!$F:$F,Transactions!$A:$A,"&lt;="&amp;A1053,Transactions!$B:$B,Settings!$B$1))</f>
        <v/>
      </c>
      <c r="F1053" s="14" t="str">
        <f aca="false">IF(A1053="","",IF(C1053="","",D1053*B1053*C1053))</f>
        <v/>
      </c>
      <c r="G1053" s="14" t="str">
        <f aca="false">IF(F1053="","",F1053-E1053)</f>
        <v/>
      </c>
      <c r="H1053" s="14" t="str">
        <f aca="false">IF(F1053="","",IFERROR(F1053-F1052-(E1053-E1052),0))</f>
        <v/>
      </c>
    </row>
    <row r="1054" customFormat="false" ht="15" hidden="false" customHeight="false" outlineLevel="0" collapsed="false">
      <c r="A1054" s="13" t="str">
        <f aca="false">IF(Prices!A1054="","",Prices!A1054)</f>
        <v/>
      </c>
      <c r="B1054" s="14" t="str">
        <f aca="false">IF(A1054="","",Prices!C1054)</f>
        <v/>
      </c>
      <c r="C1054" s="15" t="str">
        <f aca="false">IF(A1054="","",IFERROR(INDEX(FX!$B:$B,MATCH(A1054,FX!$A:$A,1)),""))</f>
        <v/>
      </c>
      <c r="D1054" s="14" t="str">
        <f aca="false">IF(A1054="","",SUMIFS(Transactions!$D:$D,Transactions!$A:$A,"&lt;="&amp;A1054,Transactions!$B:$B,Settings!$B$1))</f>
        <v/>
      </c>
      <c r="E1054" s="14" t="str">
        <f aca="false">IF(A1054="","",SUMIFS(Transactions!$C:$C,Transactions!$A:$A,"&lt;="&amp;A1054,Transactions!$B:$B,Settings!$B$1)+SUMIFS(Transactions!$F:$F,Transactions!$A:$A,"&lt;="&amp;A1054,Transactions!$B:$B,Settings!$B$1))</f>
        <v/>
      </c>
      <c r="F1054" s="14" t="str">
        <f aca="false">IF(A1054="","",IF(C1054="","",D1054*B1054*C1054))</f>
        <v/>
      </c>
      <c r="G1054" s="14" t="str">
        <f aca="false">IF(F1054="","",F1054-E1054)</f>
        <v/>
      </c>
      <c r="H1054" s="14" t="str">
        <f aca="false">IF(F1054="","",IFERROR(F1054-F1053-(E1054-E1053),0))</f>
        <v/>
      </c>
    </row>
    <row r="1055" customFormat="false" ht="15" hidden="false" customHeight="false" outlineLevel="0" collapsed="false">
      <c r="A1055" s="13" t="str">
        <f aca="false">IF(Prices!A1055="","",Prices!A1055)</f>
        <v/>
      </c>
      <c r="B1055" s="14" t="str">
        <f aca="false">IF(A1055="","",Prices!C1055)</f>
        <v/>
      </c>
      <c r="C1055" s="15" t="str">
        <f aca="false">IF(A1055="","",IFERROR(INDEX(FX!$B:$B,MATCH(A1055,FX!$A:$A,1)),""))</f>
        <v/>
      </c>
      <c r="D1055" s="14" t="str">
        <f aca="false">IF(A1055="","",SUMIFS(Transactions!$D:$D,Transactions!$A:$A,"&lt;="&amp;A1055,Transactions!$B:$B,Settings!$B$1))</f>
        <v/>
      </c>
      <c r="E1055" s="14" t="str">
        <f aca="false">IF(A1055="","",SUMIFS(Transactions!$C:$C,Transactions!$A:$A,"&lt;="&amp;A1055,Transactions!$B:$B,Settings!$B$1)+SUMIFS(Transactions!$F:$F,Transactions!$A:$A,"&lt;="&amp;A1055,Transactions!$B:$B,Settings!$B$1))</f>
        <v/>
      </c>
      <c r="F1055" s="14" t="str">
        <f aca="false">IF(A1055="","",IF(C1055="","",D1055*B1055*C1055))</f>
        <v/>
      </c>
      <c r="G1055" s="14" t="str">
        <f aca="false">IF(F1055="","",F1055-E1055)</f>
        <v/>
      </c>
      <c r="H1055" s="14" t="str">
        <f aca="false">IF(F1055="","",IFERROR(F1055-F1054-(E1055-E1054),0))</f>
        <v/>
      </c>
    </row>
    <row r="1056" customFormat="false" ht="15" hidden="false" customHeight="false" outlineLevel="0" collapsed="false">
      <c r="A1056" s="13" t="str">
        <f aca="false">IF(Prices!A1056="","",Prices!A1056)</f>
        <v/>
      </c>
      <c r="B1056" s="14" t="str">
        <f aca="false">IF(A1056="","",Prices!C1056)</f>
        <v/>
      </c>
      <c r="C1056" s="15" t="str">
        <f aca="false">IF(A1056="","",IFERROR(INDEX(FX!$B:$B,MATCH(A1056,FX!$A:$A,1)),""))</f>
        <v/>
      </c>
      <c r="D1056" s="14" t="str">
        <f aca="false">IF(A1056="","",SUMIFS(Transactions!$D:$D,Transactions!$A:$A,"&lt;="&amp;A1056,Transactions!$B:$B,Settings!$B$1))</f>
        <v/>
      </c>
      <c r="E1056" s="14" t="str">
        <f aca="false">IF(A1056="","",SUMIFS(Transactions!$C:$C,Transactions!$A:$A,"&lt;="&amp;A1056,Transactions!$B:$B,Settings!$B$1)+SUMIFS(Transactions!$F:$F,Transactions!$A:$A,"&lt;="&amp;A1056,Transactions!$B:$B,Settings!$B$1))</f>
        <v/>
      </c>
      <c r="F1056" s="14" t="str">
        <f aca="false">IF(A1056="","",IF(C1056="","",D1056*B1056*C1056))</f>
        <v/>
      </c>
      <c r="G1056" s="14" t="str">
        <f aca="false">IF(F1056="","",F1056-E1056)</f>
        <v/>
      </c>
      <c r="H1056" s="14" t="str">
        <f aca="false">IF(F1056="","",IFERROR(F1056-F1055-(E1056-E1055),0))</f>
        <v/>
      </c>
    </row>
    <row r="1057" customFormat="false" ht="15" hidden="false" customHeight="false" outlineLevel="0" collapsed="false">
      <c r="A1057" s="13" t="str">
        <f aca="false">IF(Prices!A1057="","",Prices!A1057)</f>
        <v/>
      </c>
      <c r="B1057" s="14" t="str">
        <f aca="false">IF(A1057="","",Prices!C1057)</f>
        <v/>
      </c>
      <c r="C1057" s="15" t="str">
        <f aca="false">IF(A1057="","",IFERROR(INDEX(FX!$B:$B,MATCH(A1057,FX!$A:$A,1)),""))</f>
        <v/>
      </c>
      <c r="D1057" s="14" t="str">
        <f aca="false">IF(A1057="","",SUMIFS(Transactions!$D:$D,Transactions!$A:$A,"&lt;="&amp;A1057,Transactions!$B:$B,Settings!$B$1))</f>
        <v/>
      </c>
      <c r="E1057" s="14" t="str">
        <f aca="false">IF(A1057="","",SUMIFS(Transactions!$C:$C,Transactions!$A:$A,"&lt;="&amp;A1057,Transactions!$B:$B,Settings!$B$1)+SUMIFS(Transactions!$F:$F,Transactions!$A:$A,"&lt;="&amp;A1057,Transactions!$B:$B,Settings!$B$1))</f>
        <v/>
      </c>
      <c r="F1057" s="14" t="str">
        <f aca="false">IF(A1057="","",IF(C1057="","",D1057*B1057*C1057))</f>
        <v/>
      </c>
      <c r="G1057" s="14" t="str">
        <f aca="false">IF(F1057="","",F1057-E1057)</f>
        <v/>
      </c>
      <c r="H1057" s="14" t="str">
        <f aca="false">IF(F1057="","",IFERROR(F1057-F1056-(E1057-E1056),0))</f>
        <v/>
      </c>
    </row>
    <row r="1058" customFormat="false" ht="15" hidden="false" customHeight="false" outlineLevel="0" collapsed="false">
      <c r="A1058" s="13" t="str">
        <f aca="false">IF(Prices!A1058="","",Prices!A1058)</f>
        <v/>
      </c>
      <c r="B1058" s="14" t="str">
        <f aca="false">IF(A1058="","",Prices!C1058)</f>
        <v/>
      </c>
      <c r="C1058" s="15" t="str">
        <f aca="false">IF(A1058="","",IFERROR(INDEX(FX!$B:$B,MATCH(A1058,FX!$A:$A,1)),""))</f>
        <v/>
      </c>
      <c r="D1058" s="14" t="str">
        <f aca="false">IF(A1058="","",SUMIFS(Transactions!$D:$D,Transactions!$A:$A,"&lt;="&amp;A1058,Transactions!$B:$B,Settings!$B$1))</f>
        <v/>
      </c>
      <c r="E1058" s="14" t="str">
        <f aca="false">IF(A1058="","",SUMIFS(Transactions!$C:$C,Transactions!$A:$A,"&lt;="&amp;A1058,Transactions!$B:$B,Settings!$B$1)+SUMIFS(Transactions!$F:$F,Transactions!$A:$A,"&lt;="&amp;A1058,Transactions!$B:$B,Settings!$B$1))</f>
        <v/>
      </c>
      <c r="F1058" s="14" t="str">
        <f aca="false">IF(A1058="","",IF(C1058="","",D1058*B1058*C1058))</f>
        <v/>
      </c>
      <c r="G1058" s="14" t="str">
        <f aca="false">IF(F1058="","",F1058-E1058)</f>
        <v/>
      </c>
      <c r="H1058" s="14" t="str">
        <f aca="false">IF(F1058="","",IFERROR(F1058-F1057-(E1058-E1057),0))</f>
        <v/>
      </c>
    </row>
    <row r="1059" customFormat="false" ht="15" hidden="false" customHeight="false" outlineLevel="0" collapsed="false">
      <c r="A1059" s="13" t="str">
        <f aca="false">IF(Prices!A1059="","",Prices!A1059)</f>
        <v/>
      </c>
      <c r="B1059" s="14" t="str">
        <f aca="false">IF(A1059="","",Prices!C1059)</f>
        <v/>
      </c>
      <c r="C1059" s="15" t="str">
        <f aca="false">IF(A1059="","",IFERROR(INDEX(FX!$B:$B,MATCH(A1059,FX!$A:$A,1)),""))</f>
        <v/>
      </c>
      <c r="D1059" s="14" t="str">
        <f aca="false">IF(A1059="","",SUMIFS(Transactions!$D:$D,Transactions!$A:$A,"&lt;="&amp;A1059,Transactions!$B:$B,Settings!$B$1))</f>
        <v/>
      </c>
      <c r="E1059" s="14" t="str">
        <f aca="false">IF(A1059="","",SUMIFS(Transactions!$C:$C,Transactions!$A:$A,"&lt;="&amp;A1059,Transactions!$B:$B,Settings!$B$1)+SUMIFS(Transactions!$F:$F,Transactions!$A:$A,"&lt;="&amp;A1059,Transactions!$B:$B,Settings!$B$1))</f>
        <v/>
      </c>
      <c r="F1059" s="14" t="str">
        <f aca="false">IF(A1059="","",IF(C1059="","",D1059*B1059*C1059))</f>
        <v/>
      </c>
      <c r="G1059" s="14" t="str">
        <f aca="false">IF(F1059="","",F1059-E1059)</f>
        <v/>
      </c>
      <c r="H1059" s="14" t="str">
        <f aca="false">IF(F1059="","",IFERROR(F1059-F1058-(E1059-E1058),0))</f>
        <v/>
      </c>
    </row>
    <row r="1060" customFormat="false" ht="15" hidden="false" customHeight="false" outlineLevel="0" collapsed="false">
      <c r="A1060" s="13" t="str">
        <f aca="false">IF(Prices!A1060="","",Prices!A1060)</f>
        <v/>
      </c>
      <c r="B1060" s="14" t="str">
        <f aca="false">IF(A1060="","",Prices!C1060)</f>
        <v/>
      </c>
      <c r="C1060" s="15" t="str">
        <f aca="false">IF(A1060="","",IFERROR(INDEX(FX!$B:$B,MATCH(A1060,FX!$A:$A,1)),""))</f>
        <v/>
      </c>
      <c r="D1060" s="14" t="str">
        <f aca="false">IF(A1060="","",SUMIFS(Transactions!$D:$D,Transactions!$A:$A,"&lt;="&amp;A1060,Transactions!$B:$B,Settings!$B$1))</f>
        <v/>
      </c>
      <c r="E1060" s="14" t="str">
        <f aca="false">IF(A1060="","",SUMIFS(Transactions!$C:$C,Transactions!$A:$A,"&lt;="&amp;A1060,Transactions!$B:$B,Settings!$B$1)+SUMIFS(Transactions!$F:$F,Transactions!$A:$A,"&lt;="&amp;A1060,Transactions!$B:$B,Settings!$B$1))</f>
        <v/>
      </c>
      <c r="F1060" s="14" t="str">
        <f aca="false">IF(A1060="","",IF(C1060="","",D1060*B1060*C1060))</f>
        <v/>
      </c>
      <c r="G1060" s="14" t="str">
        <f aca="false">IF(F1060="","",F1060-E1060)</f>
        <v/>
      </c>
      <c r="H1060" s="14" t="str">
        <f aca="false">IF(F1060="","",IFERROR(F1060-F1059-(E1060-E1059),0))</f>
        <v/>
      </c>
    </row>
    <row r="1061" customFormat="false" ht="15" hidden="false" customHeight="false" outlineLevel="0" collapsed="false">
      <c r="A1061" s="13" t="str">
        <f aca="false">IF(Prices!A1061="","",Prices!A1061)</f>
        <v/>
      </c>
      <c r="B1061" s="14" t="str">
        <f aca="false">IF(A1061="","",Prices!C1061)</f>
        <v/>
      </c>
      <c r="C1061" s="15" t="str">
        <f aca="false">IF(A1061="","",IFERROR(INDEX(FX!$B:$B,MATCH(A1061,FX!$A:$A,1)),""))</f>
        <v/>
      </c>
      <c r="D1061" s="14" t="str">
        <f aca="false">IF(A1061="","",SUMIFS(Transactions!$D:$D,Transactions!$A:$A,"&lt;="&amp;A1061,Transactions!$B:$B,Settings!$B$1))</f>
        <v/>
      </c>
      <c r="E1061" s="14" t="str">
        <f aca="false">IF(A1061="","",SUMIFS(Transactions!$C:$C,Transactions!$A:$A,"&lt;="&amp;A1061,Transactions!$B:$B,Settings!$B$1)+SUMIFS(Transactions!$F:$F,Transactions!$A:$A,"&lt;="&amp;A1061,Transactions!$B:$B,Settings!$B$1))</f>
        <v/>
      </c>
      <c r="F1061" s="14" t="str">
        <f aca="false">IF(A1061="","",IF(C1061="","",D1061*B1061*C1061))</f>
        <v/>
      </c>
      <c r="G1061" s="14" t="str">
        <f aca="false">IF(F1061="","",F1061-E1061)</f>
        <v/>
      </c>
      <c r="H1061" s="14" t="str">
        <f aca="false">IF(F1061="","",IFERROR(F1061-F1060-(E1061-E1060),0))</f>
        <v/>
      </c>
    </row>
    <row r="1062" customFormat="false" ht="15" hidden="false" customHeight="false" outlineLevel="0" collapsed="false">
      <c r="A1062" s="13" t="str">
        <f aca="false">IF(Prices!A1062="","",Prices!A1062)</f>
        <v/>
      </c>
      <c r="B1062" s="14" t="str">
        <f aca="false">IF(A1062="","",Prices!C1062)</f>
        <v/>
      </c>
      <c r="C1062" s="15" t="str">
        <f aca="false">IF(A1062="","",IFERROR(INDEX(FX!$B:$B,MATCH(A1062,FX!$A:$A,1)),""))</f>
        <v/>
      </c>
      <c r="D1062" s="14" t="str">
        <f aca="false">IF(A1062="","",SUMIFS(Transactions!$D:$D,Transactions!$A:$A,"&lt;="&amp;A1062,Transactions!$B:$B,Settings!$B$1))</f>
        <v/>
      </c>
      <c r="E1062" s="14" t="str">
        <f aca="false">IF(A1062="","",SUMIFS(Transactions!$C:$C,Transactions!$A:$A,"&lt;="&amp;A1062,Transactions!$B:$B,Settings!$B$1)+SUMIFS(Transactions!$F:$F,Transactions!$A:$A,"&lt;="&amp;A1062,Transactions!$B:$B,Settings!$B$1))</f>
        <v/>
      </c>
      <c r="F1062" s="14" t="str">
        <f aca="false">IF(A1062="","",IF(C1062="","",D1062*B1062*C1062))</f>
        <v/>
      </c>
      <c r="G1062" s="14" t="str">
        <f aca="false">IF(F1062="","",F1062-E1062)</f>
        <v/>
      </c>
      <c r="H1062" s="14" t="str">
        <f aca="false">IF(F1062="","",IFERROR(F1062-F1061-(E1062-E1061),0))</f>
        <v/>
      </c>
    </row>
    <row r="1063" customFormat="false" ht="15" hidden="false" customHeight="false" outlineLevel="0" collapsed="false">
      <c r="A1063" s="13" t="str">
        <f aca="false">IF(Prices!A1063="","",Prices!A1063)</f>
        <v/>
      </c>
      <c r="B1063" s="14" t="str">
        <f aca="false">IF(A1063="","",Prices!C1063)</f>
        <v/>
      </c>
      <c r="C1063" s="15" t="str">
        <f aca="false">IF(A1063="","",IFERROR(INDEX(FX!$B:$B,MATCH(A1063,FX!$A:$A,1)),""))</f>
        <v/>
      </c>
      <c r="D1063" s="14" t="str">
        <f aca="false">IF(A1063="","",SUMIFS(Transactions!$D:$D,Transactions!$A:$A,"&lt;="&amp;A1063,Transactions!$B:$B,Settings!$B$1))</f>
        <v/>
      </c>
      <c r="E1063" s="14" t="str">
        <f aca="false">IF(A1063="","",SUMIFS(Transactions!$C:$C,Transactions!$A:$A,"&lt;="&amp;A1063,Transactions!$B:$B,Settings!$B$1)+SUMIFS(Transactions!$F:$F,Transactions!$A:$A,"&lt;="&amp;A1063,Transactions!$B:$B,Settings!$B$1))</f>
        <v/>
      </c>
      <c r="F1063" s="14" t="str">
        <f aca="false">IF(A1063="","",IF(C1063="","",D1063*B1063*C1063))</f>
        <v/>
      </c>
      <c r="G1063" s="14" t="str">
        <f aca="false">IF(F1063="","",F1063-E1063)</f>
        <v/>
      </c>
      <c r="H1063" s="14" t="str">
        <f aca="false">IF(F1063="","",IFERROR(F1063-F1062-(E1063-E1062),0))</f>
        <v/>
      </c>
    </row>
    <row r="1064" customFormat="false" ht="15" hidden="false" customHeight="false" outlineLevel="0" collapsed="false">
      <c r="A1064" s="13" t="str">
        <f aca="false">IF(Prices!A1064="","",Prices!A1064)</f>
        <v/>
      </c>
      <c r="B1064" s="14" t="str">
        <f aca="false">IF(A1064="","",Prices!C1064)</f>
        <v/>
      </c>
      <c r="C1064" s="15" t="str">
        <f aca="false">IF(A1064="","",IFERROR(INDEX(FX!$B:$B,MATCH(A1064,FX!$A:$A,1)),""))</f>
        <v/>
      </c>
      <c r="D1064" s="14" t="str">
        <f aca="false">IF(A1064="","",SUMIFS(Transactions!$D:$D,Transactions!$A:$A,"&lt;="&amp;A1064,Transactions!$B:$B,Settings!$B$1))</f>
        <v/>
      </c>
      <c r="E1064" s="14" t="str">
        <f aca="false">IF(A1064="","",SUMIFS(Transactions!$C:$C,Transactions!$A:$A,"&lt;="&amp;A1064,Transactions!$B:$B,Settings!$B$1)+SUMIFS(Transactions!$F:$F,Transactions!$A:$A,"&lt;="&amp;A1064,Transactions!$B:$B,Settings!$B$1))</f>
        <v/>
      </c>
      <c r="F1064" s="14" t="str">
        <f aca="false">IF(A1064="","",IF(C1064="","",D1064*B1064*C1064))</f>
        <v/>
      </c>
      <c r="G1064" s="14" t="str">
        <f aca="false">IF(F1064="","",F1064-E1064)</f>
        <v/>
      </c>
      <c r="H1064" s="14" t="str">
        <f aca="false">IF(F1064="","",IFERROR(F1064-F1063-(E1064-E1063),0))</f>
        <v/>
      </c>
    </row>
    <row r="1065" customFormat="false" ht="15" hidden="false" customHeight="false" outlineLevel="0" collapsed="false">
      <c r="A1065" s="13" t="str">
        <f aca="false">IF(Prices!A1065="","",Prices!A1065)</f>
        <v/>
      </c>
      <c r="B1065" s="14" t="str">
        <f aca="false">IF(A1065="","",Prices!C1065)</f>
        <v/>
      </c>
      <c r="C1065" s="15" t="str">
        <f aca="false">IF(A1065="","",IFERROR(INDEX(FX!$B:$B,MATCH(A1065,FX!$A:$A,1)),""))</f>
        <v/>
      </c>
      <c r="D1065" s="14" t="str">
        <f aca="false">IF(A1065="","",SUMIFS(Transactions!$D:$D,Transactions!$A:$A,"&lt;="&amp;A1065,Transactions!$B:$B,Settings!$B$1))</f>
        <v/>
      </c>
      <c r="E1065" s="14" t="str">
        <f aca="false">IF(A1065="","",SUMIFS(Transactions!$C:$C,Transactions!$A:$A,"&lt;="&amp;A1065,Transactions!$B:$B,Settings!$B$1)+SUMIFS(Transactions!$F:$F,Transactions!$A:$A,"&lt;="&amp;A1065,Transactions!$B:$B,Settings!$B$1))</f>
        <v/>
      </c>
      <c r="F1065" s="14" t="str">
        <f aca="false">IF(A1065="","",IF(C1065="","",D1065*B1065*C1065))</f>
        <v/>
      </c>
      <c r="G1065" s="14" t="str">
        <f aca="false">IF(F1065="","",F1065-E1065)</f>
        <v/>
      </c>
      <c r="H1065" s="14" t="str">
        <f aca="false">IF(F1065="","",IFERROR(F1065-F1064-(E1065-E1064),0))</f>
        <v/>
      </c>
    </row>
    <row r="1066" customFormat="false" ht="15" hidden="false" customHeight="false" outlineLevel="0" collapsed="false">
      <c r="A1066" s="13" t="str">
        <f aca="false">IF(Prices!A1066="","",Prices!A1066)</f>
        <v/>
      </c>
      <c r="B1066" s="14" t="str">
        <f aca="false">IF(A1066="","",Prices!C1066)</f>
        <v/>
      </c>
      <c r="C1066" s="15" t="str">
        <f aca="false">IF(A1066="","",IFERROR(INDEX(FX!$B:$B,MATCH(A1066,FX!$A:$A,1)),""))</f>
        <v/>
      </c>
      <c r="D1066" s="14" t="str">
        <f aca="false">IF(A1066="","",SUMIFS(Transactions!$D:$D,Transactions!$A:$A,"&lt;="&amp;A1066,Transactions!$B:$B,Settings!$B$1))</f>
        <v/>
      </c>
      <c r="E1066" s="14" t="str">
        <f aca="false">IF(A1066="","",SUMIFS(Transactions!$C:$C,Transactions!$A:$A,"&lt;="&amp;A1066,Transactions!$B:$B,Settings!$B$1)+SUMIFS(Transactions!$F:$F,Transactions!$A:$A,"&lt;="&amp;A1066,Transactions!$B:$B,Settings!$B$1))</f>
        <v/>
      </c>
      <c r="F1066" s="14" t="str">
        <f aca="false">IF(A1066="","",IF(C1066="","",D1066*B1066*C1066))</f>
        <v/>
      </c>
      <c r="G1066" s="14" t="str">
        <f aca="false">IF(F1066="","",F1066-E1066)</f>
        <v/>
      </c>
      <c r="H1066" s="14" t="str">
        <f aca="false">IF(F1066="","",IFERROR(F1066-F1065-(E1066-E1065),0))</f>
        <v/>
      </c>
    </row>
    <row r="1067" customFormat="false" ht="15" hidden="false" customHeight="false" outlineLevel="0" collapsed="false">
      <c r="A1067" s="13" t="str">
        <f aca="false">IF(Prices!A1067="","",Prices!A1067)</f>
        <v/>
      </c>
      <c r="B1067" s="14" t="str">
        <f aca="false">IF(A1067="","",Prices!C1067)</f>
        <v/>
      </c>
      <c r="C1067" s="15" t="str">
        <f aca="false">IF(A1067="","",IFERROR(INDEX(FX!$B:$B,MATCH(A1067,FX!$A:$A,1)),""))</f>
        <v/>
      </c>
      <c r="D1067" s="14" t="str">
        <f aca="false">IF(A1067="","",SUMIFS(Transactions!$D:$D,Transactions!$A:$A,"&lt;="&amp;A1067,Transactions!$B:$B,Settings!$B$1))</f>
        <v/>
      </c>
      <c r="E1067" s="14" t="str">
        <f aca="false">IF(A1067="","",SUMIFS(Transactions!$C:$C,Transactions!$A:$A,"&lt;="&amp;A1067,Transactions!$B:$B,Settings!$B$1)+SUMIFS(Transactions!$F:$F,Transactions!$A:$A,"&lt;="&amp;A1067,Transactions!$B:$B,Settings!$B$1))</f>
        <v/>
      </c>
      <c r="F1067" s="14" t="str">
        <f aca="false">IF(A1067="","",IF(C1067="","",D1067*B1067*C1067))</f>
        <v/>
      </c>
      <c r="G1067" s="14" t="str">
        <f aca="false">IF(F1067="","",F1067-E1067)</f>
        <v/>
      </c>
      <c r="H1067" s="14" t="str">
        <f aca="false">IF(F1067="","",IFERROR(F1067-F1066-(E1067-E1066),0))</f>
        <v/>
      </c>
    </row>
    <row r="1068" customFormat="false" ht="15" hidden="false" customHeight="false" outlineLevel="0" collapsed="false">
      <c r="A1068" s="13" t="str">
        <f aca="false">IF(Prices!A1068="","",Prices!A1068)</f>
        <v/>
      </c>
      <c r="B1068" s="14" t="str">
        <f aca="false">IF(A1068="","",Prices!C1068)</f>
        <v/>
      </c>
      <c r="C1068" s="15" t="str">
        <f aca="false">IF(A1068="","",IFERROR(INDEX(FX!$B:$B,MATCH(A1068,FX!$A:$A,1)),""))</f>
        <v/>
      </c>
      <c r="D1068" s="14" t="str">
        <f aca="false">IF(A1068="","",SUMIFS(Transactions!$D:$D,Transactions!$A:$A,"&lt;="&amp;A1068,Transactions!$B:$B,Settings!$B$1))</f>
        <v/>
      </c>
      <c r="E1068" s="14" t="str">
        <f aca="false">IF(A1068="","",SUMIFS(Transactions!$C:$C,Transactions!$A:$A,"&lt;="&amp;A1068,Transactions!$B:$B,Settings!$B$1)+SUMIFS(Transactions!$F:$F,Transactions!$A:$A,"&lt;="&amp;A1068,Transactions!$B:$B,Settings!$B$1))</f>
        <v/>
      </c>
      <c r="F1068" s="14" t="str">
        <f aca="false">IF(A1068="","",IF(C1068="","",D1068*B1068*C1068))</f>
        <v/>
      </c>
      <c r="G1068" s="14" t="str">
        <f aca="false">IF(F1068="","",F1068-E1068)</f>
        <v/>
      </c>
      <c r="H1068" s="14" t="str">
        <f aca="false">IF(F1068="","",IFERROR(F1068-F1067-(E1068-E1067),0))</f>
        <v/>
      </c>
    </row>
    <row r="1069" customFormat="false" ht="15" hidden="false" customHeight="false" outlineLevel="0" collapsed="false">
      <c r="A1069" s="13" t="str">
        <f aca="false">IF(Prices!A1069="","",Prices!A1069)</f>
        <v/>
      </c>
      <c r="B1069" s="14" t="str">
        <f aca="false">IF(A1069="","",Prices!C1069)</f>
        <v/>
      </c>
      <c r="C1069" s="15" t="str">
        <f aca="false">IF(A1069="","",IFERROR(INDEX(FX!$B:$B,MATCH(A1069,FX!$A:$A,1)),""))</f>
        <v/>
      </c>
      <c r="D1069" s="14" t="str">
        <f aca="false">IF(A1069="","",SUMIFS(Transactions!$D:$D,Transactions!$A:$A,"&lt;="&amp;A1069,Transactions!$B:$B,Settings!$B$1))</f>
        <v/>
      </c>
      <c r="E1069" s="14" t="str">
        <f aca="false">IF(A1069="","",SUMIFS(Transactions!$C:$C,Transactions!$A:$A,"&lt;="&amp;A1069,Transactions!$B:$B,Settings!$B$1)+SUMIFS(Transactions!$F:$F,Transactions!$A:$A,"&lt;="&amp;A1069,Transactions!$B:$B,Settings!$B$1))</f>
        <v/>
      </c>
      <c r="F1069" s="14" t="str">
        <f aca="false">IF(A1069="","",IF(C1069="","",D1069*B1069*C1069))</f>
        <v/>
      </c>
      <c r="G1069" s="14" t="str">
        <f aca="false">IF(F1069="","",F1069-E1069)</f>
        <v/>
      </c>
      <c r="H1069" s="14" t="str">
        <f aca="false">IF(F1069="","",IFERROR(F1069-F1068-(E1069-E1068),0))</f>
        <v/>
      </c>
    </row>
    <row r="1070" customFormat="false" ht="15" hidden="false" customHeight="false" outlineLevel="0" collapsed="false">
      <c r="A1070" s="13" t="str">
        <f aca="false">IF(Prices!A1070="","",Prices!A1070)</f>
        <v/>
      </c>
      <c r="B1070" s="14" t="str">
        <f aca="false">IF(A1070="","",Prices!C1070)</f>
        <v/>
      </c>
      <c r="C1070" s="15" t="str">
        <f aca="false">IF(A1070="","",IFERROR(INDEX(FX!$B:$B,MATCH(A1070,FX!$A:$A,1)),""))</f>
        <v/>
      </c>
      <c r="D1070" s="14" t="str">
        <f aca="false">IF(A1070="","",SUMIFS(Transactions!$D:$D,Transactions!$A:$A,"&lt;="&amp;A1070,Transactions!$B:$B,Settings!$B$1))</f>
        <v/>
      </c>
      <c r="E1070" s="14" t="str">
        <f aca="false">IF(A1070="","",SUMIFS(Transactions!$C:$C,Transactions!$A:$A,"&lt;="&amp;A1070,Transactions!$B:$B,Settings!$B$1)+SUMIFS(Transactions!$F:$F,Transactions!$A:$A,"&lt;="&amp;A1070,Transactions!$B:$B,Settings!$B$1))</f>
        <v/>
      </c>
      <c r="F1070" s="14" t="str">
        <f aca="false">IF(A1070="","",IF(C1070="","",D1070*B1070*C1070))</f>
        <v/>
      </c>
      <c r="G1070" s="14" t="str">
        <f aca="false">IF(F1070="","",F1070-E1070)</f>
        <v/>
      </c>
      <c r="H1070" s="14" t="str">
        <f aca="false">IF(F1070="","",IFERROR(F1070-F1069-(E1070-E1069),0))</f>
        <v/>
      </c>
    </row>
    <row r="1071" customFormat="false" ht="15" hidden="false" customHeight="false" outlineLevel="0" collapsed="false">
      <c r="A1071" s="13" t="str">
        <f aca="false">IF(Prices!A1071="","",Prices!A1071)</f>
        <v/>
      </c>
      <c r="B1071" s="14" t="str">
        <f aca="false">IF(A1071="","",Prices!C1071)</f>
        <v/>
      </c>
      <c r="C1071" s="15" t="str">
        <f aca="false">IF(A1071="","",IFERROR(INDEX(FX!$B:$B,MATCH(A1071,FX!$A:$A,1)),""))</f>
        <v/>
      </c>
      <c r="D1071" s="14" t="str">
        <f aca="false">IF(A1071="","",SUMIFS(Transactions!$D:$D,Transactions!$A:$A,"&lt;="&amp;A1071,Transactions!$B:$B,Settings!$B$1))</f>
        <v/>
      </c>
      <c r="E1071" s="14" t="str">
        <f aca="false">IF(A1071="","",SUMIFS(Transactions!$C:$C,Transactions!$A:$A,"&lt;="&amp;A1071,Transactions!$B:$B,Settings!$B$1)+SUMIFS(Transactions!$F:$F,Transactions!$A:$A,"&lt;="&amp;A1071,Transactions!$B:$B,Settings!$B$1))</f>
        <v/>
      </c>
      <c r="F1071" s="14" t="str">
        <f aca="false">IF(A1071="","",IF(C1071="","",D1071*B1071*C1071))</f>
        <v/>
      </c>
      <c r="G1071" s="14" t="str">
        <f aca="false">IF(F1071="","",F1071-E1071)</f>
        <v/>
      </c>
      <c r="H1071" s="14" t="str">
        <f aca="false">IF(F1071="","",IFERROR(F1071-F1070-(E1071-E1070),0))</f>
        <v/>
      </c>
    </row>
    <row r="1072" customFormat="false" ht="15" hidden="false" customHeight="false" outlineLevel="0" collapsed="false">
      <c r="A1072" s="13" t="str">
        <f aca="false">IF(Prices!A1072="","",Prices!A1072)</f>
        <v/>
      </c>
      <c r="B1072" s="14" t="str">
        <f aca="false">IF(A1072="","",Prices!C1072)</f>
        <v/>
      </c>
      <c r="C1072" s="15" t="str">
        <f aca="false">IF(A1072="","",IFERROR(INDEX(FX!$B:$B,MATCH(A1072,FX!$A:$A,1)),""))</f>
        <v/>
      </c>
      <c r="D1072" s="14" t="str">
        <f aca="false">IF(A1072="","",SUMIFS(Transactions!$D:$D,Transactions!$A:$A,"&lt;="&amp;A1072,Transactions!$B:$B,Settings!$B$1))</f>
        <v/>
      </c>
      <c r="E1072" s="14" t="str">
        <f aca="false">IF(A1072="","",SUMIFS(Transactions!$C:$C,Transactions!$A:$A,"&lt;="&amp;A1072,Transactions!$B:$B,Settings!$B$1)+SUMIFS(Transactions!$F:$F,Transactions!$A:$A,"&lt;="&amp;A1072,Transactions!$B:$B,Settings!$B$1))</f>
        <v/>
      </c>
      <c r="F1072" s="14" t="str">
        <f aca="false">IF(A1072="","",IF(C1072="","",D1072*B1072*C1072))</f>
        <v/>
      </c>
      <c r="G1072" s="14" t="str">
        <f aca="false">IF(F1072="","",F1072-E1072)</f>
        <v/>
      </c>
      <c r="H1072" s="14" t="str">
        <f aca="false">IF(F1072="","",IFERROR(F1072-F1071-(E1072-E1071),0))</f>
        <v/>
      </c>
    </row>
    <row r="1073" customFormat="false" ht="15" hidden="false" customHeight="false" outlineLevel="0" collapsed="false">
      <c r="A1073" s="13" t="str">
        <f aca="false">IF(Prices!A1073="","",Prices!A1073)</f>
        <v/>
      </c>
      <c r="B1073" s="14" t="str">
        <f aca="false">IF(A1073="","",Prices!C1073)</f>
        <v/>
      </c>
      <c r="C1073" s="15" t="str">
        <f aca="false">IF(A1073="","",IFERROR(INDEX(FX!$B:$B,MATCH(A1073,FX!$A:$A,1)),""))</f>
        <v/>
      </c>
      <c r="D1073" s="14" t="str">
        <f aca="false">IF(A1073="","",SUMIFS(Transactions!$D:$D,Transactions!$A:$A,"&lt;="&amp;A1073,Transactions!$B:$B,Settings!$B$1))</f>
        <v/>
      </c>
      <c r="E1073" s="14" t="str">
        <f aca="false">IF(A1073="","",SUMIFS(Transactions!$C:$C,Transactions!$A:$A,"&lt;="&amp;A1073,Transactions!$B:$B,Settings!$B$1)+SUMIFS(Transactions!$F:$F,Transactions!$A:$A,"&lt;="&amp;A1073,Transactions!$B:$B,Settings!$B$1))</f>
        <v/>
      </c>
      <c r="F1073" s="14" t="str">
        <f aca="false">IF(A1073="","",IF(C1073="","",D1073*B1073*C1073))</f>
        <v/>
      </c>
      <c r="G1073" s="14" t="str">
        <f aca="false">IF(F1073="","",F1073-E1073)</f>
        <v/>
      </c>
      <c r="H1073" s="14" t="str">
        <f aca="false">IF(F1073="","",IFERROR(F1073-F1072-(E1073-E1072),0))</f>
        <v/>
      </c>
    </row>
    <row r="1074" customFormat="false" ht="15" hidden="false" customHeight="false" outlineLevel="0" collapsed="false">
      <c r="A1074" s="13" t="str">
        <f aca="false">IF(Prices!A1074="","",Prices!A1074)</f>
        <v/>
      </c>
      <c r="B1074" s="14" t="str">
        <f aca="false">IF(A1074="","",Prices!C1074)</f>
        <v/>
      </c>
      <c r="C1074" s="15" t="str">
        <f aca="false">IF(A1074="","",IFERROR(INDEX(FX!$B:$B,MATCH(A1074,FX!$A:$A,1)),""))</f>
        <v/>
      </c>
      <c r="D1074" s="14" t="str">
        <f aca="false">IF(A1074="","",SUMIFS(Transactions!$D:$D,Transactions!$A:$A,"&lt;="&amp;A1074,Transactions!$B:$B,Settings!$B$1))</f>
        <v/>
      </c>
      <c r="E1074" s="14" t="str">
        <f aca="false">IF(A1074="","",SUMIFS(Transactions!$C:$C,Transactions!$A:$A,"&lt;="&amp;A1074,Transactions!$B:$B,Settings!$B$1)+SUMIFS(Transactions!$F:$F,Transactions!$A:$A,"&lt;="&amp;A1074,Transactions!$B:$B,Settings!$B$1))</f>
        <v/>
      </c>
      <c r="F1074" s="14" t="str">
        <f aca="false">IF(A1074="","",IF(C1074="","",D1074*B1074*C1074))</f>
        <v/>
      </c>
      <c r="G1074" s="14" t="str">
        <f aca="false">IF(F1074="","",F1074-E1074)</f>
        <v/>
      </c>
      <c r="H1074" s="14" t="str">
        <f aca="false">IF(F1074="","",IFERROR(F1074-F1073-(E1074-E1073),0))</f>
        <v/>
      </c>
    </row>
    <row r="1075" customFormat="false" ht="15" hidden="false" customHeight="false" outlineLevel="0" collapsed="false">
      <c r="A1075" s="13" t="str">
        <f aca="false">IF(Prices!A1075="","",Prices!A1075)</f>
        <v/>
      </c>
      <c r="B1075" s="14" t="str">
        <f aca="false">IF(A1075="","",Prices!C1075)</f>
        <v/>
      </c>
      <c r="C1075" s="15" t="str">
        <f aca="false">IF(A1075="","",IFERROR(INDEX(FX!$B:$B,MATCH(A1075,FX!$A:$A,1)),""))</f>
        <v/>
      </c>
      <c r="D1075" s="14" t="str">
        <f aca="false">IF(A1075="","",SUMIFS(Transactions!$D:$D,Transactions!$A:$A,"&lt;="&amp;A1075,Transactions!$B:$B,Settings!$B$1))</f>
        <v/>
      </c>
      <c r="E1075" s="14" t="str">
        <f aca="false">IF(A1075="","",SUMIFS(Transactions!$C:$C,Transactions!$A:$A,"&lt;="&amp;A1075,Transactions!$B:$B,Settings!$B$1)+SUMIFS(Transactions!$F:$F,Transactions!$A:$A,"&lt;="&amp;A1075,Transactions!$B:$B,Settings!$B$1))</f>
        <v/>
      </c>
      <c r="F1075" s="14" t="str">
        <f aca="false">IF(A1075="","",IF(C1075="","",D1075*B1075*C1075))</f>
        <v/>
      </c>
      <c r="G1075" s="14" t="str">
        <f aca="false">IF(F1075="","",F1075-E1075)</f>
        <v/>
      </c>
      <c r="H1075" s="14" t="str">
        <f aca="false">IF(F1075="","",IFERROR(F1075-F1074-(E1075-E1074),0))</f>
        <v/>
      </c>
    </row>
    <row r="1076" customFormat="false" ht="15" hidden="false" customHeight="false" outlineLevel="0" collapsed="false">
      <c r="A1076" s="13" t="str">
        <f aca="false">IF(Prices!A1076="","",Prices!A1076)</f>
        <v/>
      </c>
      <c r="B1076" s="14" t="str">
        <f aca="false">IF(A1076="","",Prices!C1076)</f>
        <v/>
      </c>
      <c r="C1076" s="15" t="str">
        <f aca="false">IF(A1076="","",IFERROR(INDEX(FX!$B:$B,MATCH(A1076,FX!$A:$A,1)),""))</f>
        <v/>
      </c>
      <c r="D1076" s="14" t="str">
        <f aca="false">IF(A1076="","",SUMIFS(Transactions!$D:$D,Transactions!$A:$A,"&lt;="&amp;A1076,Transactions!$B:$B,Settings!$B$1))</f>
        <v/>
      </c>
      <c r="E1076" s="14" t="str">
        <f aca="false">IF(A1076="","",SUMIFS(Transactions!$C:$C,Transactions!$A:$A,"&lt;="&amp;A1076,Transactions!$B:$B,Settings!$B$1)+SUMIFS(Transactions!$F:$F,Transactions!$A:$A,"&lt;="&amp;A1076,Transactions!$B:$B,Settings!$B$1))</f>
        <v/>
      </c>
      <c r="F1076" s="14" t="str">
        <f aca="false">IF(A1076="","",IF(C1076="","",D1076*B1076*C1076))</f>
        <v/>
      </c>
      <c r="G1076" s="14" t="str">
        <f aca="false">IF(F1076="","",F1076-E1076)</f>
        <v/>
      </c>
      <c r="H1076" s="14" t="str">
        <f aca="false">IF(F1076="","",IFERROR(F1076-F1075-(E1076-E1075),0))</f>
        <v/>
      </c>
    </row>
    <row r="1077" customFormat="false" ht="15" hidden="false" customHeight="false" outlineLevel="0" collapsed="false">
      <c r="A1077" s="13" t="str">
        <f aca="false">IF(Prices!A1077="","",Prices!A1077)</f>
        <v/>
      </c>
      <c r="B1077" s="14" t="str">
        <f aca="false">IF(A1077="","",Prices!C1077)</f>
        <v/>
      </c>
      <c r="C1077" s="15" t="str">
        <f aca="false">IF(A1077="","",IFERROR(INDEX(FX!$B:$B,MATCH(A1077,FX!$A:$A,1)),""))</f>
        <v/>
      </c>
      <c r="D1077" s="14" t="str">
        <f aca="false">IF(A1077="","",SUMIFS(Transactions!$D:$D,Transactions!$A:$A,"&lt;="&amp;A1077,Transactions!$B:$B,Settings!$B$1))</f>
        <v/>
      </c>
      <c r="E1077" s="14" t="str">
        <f aca="false">IF(A1077="","",SUMIFS(Transactions!$C:$C,Transactions!$A:$A,"&lt;="&amp;A1077,Transactions!$B:$B,Settings!$B$1)+SUMIFS(Transactions!$F:$F,Transactions!$A:$A,"&lt;="&amp;A1077,Transactions!$B:$B,Settings!$B$1))</f>
        <v/>
      </c>
      <c r="F1077" s="14" t="str">
        <f aca="false">IF(A1077="","",IF(C1077="","",D1077*B1077*C1077))</f>
        <v/>
      </c>
      <c r="G1077" s="14" t="str">
        <f aca="false">IF(F1077="","",F1077-E1077)</f>
        <v/>
      </c>
      <c r="H1077" s="14" t="str">
        <f aca="false">IF(F1077="","",IFERROR(F1077-F1076-(E1077-E1076),0))</f>
        <v/>
      </c>
    </row>
    <row r="1078" customFormat="false" ht="15" hidden="false" customHeight="false" outlineLevel="0" collapsed="false">
      <c r="A1078" s="13" t="str">
        <f aca="false">IF(Prices!A1078="","",Prices!A1078)</f>
        <v/>
      </c>
      <c r="B1078" s="14" t="str">
        <f aca="false">IF(A1078="","",Prices!C1078)</f>
        <v/>
      </c>
      <c r="C1078" s="15" t="str">
        <f aca="false">IF(A1078="","",IFERROR(INDEX(FX!$B:$B,MATCH(A1078,FX!$A:$A,1)),""))</f>
        <v/>
      </c>
      <c r="D1078" s="14" t="str">
        <f aca="false">IF(A1078="","",SUMIFS(Transactions!$D:$D,Transactions!$A:$A,"&lt;="&amp;A1078,Transactions!$B:$B,Settings!$B$1))</f>
        <v/>
      </c>
      <c r="E1078" s="14" t="str">
        <f aca="false">IF(A1078="","",SUMIFS(Transactions!$C:$C,Transactions!$A:$A,"&lt;="&amp;A1078,Transactions!$B:$B,Settings!$B$1)+SUMIFS(Transactions!$F:$F,Transactions!$A:$A,"&lt;="&amp;A1078,Transactions!$B:$B,Settings!$B$1))</f>
        <v/>
      </c>
      <c r="F1078" s="14" t="str">
        <f aca="false">IF(A1078="","",IF(C1078="","",D1078*B1078*C1078))</f>
        <v/>
      </c>
      <c r="G1078" s="14" t="str">
        <f aca="false">IF(F1078="","",F1078-E1078)</f>
        <v/>
      </c>
      <c r="H1078" s="14" t="str">
        <f aca="false">IF(F1078="","",IFERROR(F1078-F1077-(E1078-E1077),0))</f>
        <v/>
      </c>
    </row>
    <row r="1079" customFormat="false" ht="15" hidden="false" customHeight="false" outlineLevel="0" collapsed="false">
      <c r="A1079" s="13" t="str">
        <f aca="false">IF(Prices!A1079="","",Prices!A1079)</f>
        <v/>
      </c>
      <c r="B1079" s="14" t="str">
        <f aca="false">IF(A1079="","",Prices!C1079)</f>
        <v/>
      </c>
      <c r="C1079" s="15" t="str">
        <f aca="false">IF(A1079="","",IFERROR(INDEX(FX!$B:$B,MATCH(A1079,FX!$A:$A,1)),""))</f>
        <v/>
      </c>
      <c r="D1079" s="14" t="str">
        <f aca="false">IF(A1079="","",SUMIFS(Transactions!$D:$D,Transactions!$A:$A,"&lt;="&amp;A1079,Transactions!$B:$B,Settings!$B$1))</f>
        <v/>
      </c>
      <c r="E1079" s="14" t="str">
        <f aca="false">IF(A1079="","",SUMIFS(Transactions!$C:$C,Transactions!$A:$A,"&lt;="&amp;A1079,Transactions!$B:$B,Settings!$B$1)+SUMIFS(Transactions!$F:$F,Transactions!$A:$A,"&lt;="&amp;A1079,Transactions!$B:$B,Settings!$B$1))</f>
        <v/>
      </c>
      <c r="F1079" s="14" t="str">
        <f aca="false">IF(A1079="","",IF(C1079="","",D1079*B1079*C1079))</f>
        <v/>
      </c>
      <c r="G1079" s="14" t="str">
        <f aca="false">IF(F1079="","",F1079-E1079)</f>
        <v/>
      </c>
      <c r="H1079" s="14" t="str">
        <f aca="false">IF(F1079="","",IFERROR(F1079-F1078-(E1079-E1078),0))</f>
        <v/>
      </c>
    </row>
    <row r="1080" customFormat="false" ht="15" hidden="false" customHeight="false" outlineLevel="0" collapsed="false">
      <c r="A1080" s="13" t="str">
        <f aca="false">IF(Prices!A1080="","",Prices!A1080)</f>
        <v/>
      </c>
      <c r="B1080" s="14" t="str">
        <f aca="false">IF(A1080="","",Prices!C1080)</f>
        <v/>
      </c>
      <c r="C1080" s="15" t="str">
        <f aca="false">IF(A1080="","",IFERROR(INDEX(FX!$B:$B,MATCH(A1080,FX!$A:$A,1)),""))</f>
        <v/>
      </c>
      <c r="D1080" s="14" t="str">
        <f aca="false">IF(A1080="","",SUMIFS(Transactions!$D:$D,Transactions!$A:$A,"&lt;="&amp;A1080,Transactions!$B:$B,Settings!$B$1))</f>
        <v/>
      </c>
      <c r="E1080" s="14" t="str">
        <f aca="false">IF(A1080="","",SUMIFS(Transactions!$C:$C,Transactions!$A:$A,"&lt;="&amp;A1080,Transactions!$B:$B,Settings!$B$1)+SUMIFS(Transactions!$F:$F,Transactions!$A:$A,"&lt;="&amp;A1080,Transactions!$B:$B,Settings!$B$1))</f>
        <v/>
      </c>
      <c r="F1080" s="14" t="str">
        <f aca="false">IF(A1080="","",IF(C1080="","",D1080*B1080*C1080))</f>
        <v/>
      </c>
      <c r="G1080" s="14" t="str">
        <f aca="false">IF(F1080="","",F1080-E1080)</f>
        <v/>
      </c>
      <c r="H1080" s="14" t="str">
        <f aca="false">IF(F1080="","",IFERROR(F1080-F1079-(E1080-E1079),0))</f>
        <v/>
      </c>
    </row>
    <row r="1081" customFormat="false" ht="15" hidden="false" customHeight="false" outlineLevel="0" collapsed="false">
      <c r="A1081" s="13" t="str">
        <f aca="false">IF(Prices!A1081="","",Prices!A1081)</f>
        <v/>
      </c>
      <c r="B1081" s="14" t="str">
        <f aca="false">IF(A1081="","",Prices!C1081)</f>
        <v/>
      </c>
      <c r="C1081" s="15" t="str">
        <f aca="false">IF(A1081="","",IFERROR(INDEX(FX!$B:$B,MATCH(A1081,FX!$A:$A,1)),""))</f>
        <v/>
      </c>
      <c r="D1081" s="14" t="str">
        <f aca="false">IF(A1081="","",SUMIFS(Transactions!$D:$D,Transactions!$A:$A,"&lt;="&amp;A1081,Transactions!$B:$B,Settings!$B$1))</f>
        <v/>
      </c>
      <c r="E1081" s="14" t="str">
        <f aca="false">IF(A1081="","",SUMIFS(Transactions!$C:$C,Transactions!$A:$A,"&lt;="&amp;A1081,Transactions!$B:$B,Settings!$B$1)+SUMIFS(Transactions!$F:$F,Transactions!$A:$A,"&lt;="&amp;A1081,Transactions!$B:$B,Settings!$B$1))</f>
        <v/>
      </c>
      <c r="F1081" s="14" t="str">
        <f aca="false">IF(A1081="","",IF(C1081="","",D1081*B1081*C1081))</f>
        <v/>
      </c>
      <c r="G1081" s="14" t="str">
        <f aca="false">IF(F1081="","",F1081-E1081)</f>
        <v/>
      </c>
      <c r="H1081" s="14" t="str">
        <f aca="false">IF(F1081="","",IFERROR(F1081-F1080-(E1081-E1080),0))</f>
        <v/>
      </c>
    </row>
    <row r="1082" customFormat="false" ht="15" hidden="false" customHeight="false" outlineLevel="0" collapsed="false">
      <c r="A1082" s="13" t="str">
        <f aca="false">IF(Prices!A1082="","",Prices!A1082)</f>
        <v/>
      </c>
      <c r="B1082" s="14" t="str">
        <f aca="false">IF(A1082="","",Prices!C1082)</f>
        <v/>
      </c>
      <c r="C1082" s="15" t="str">
        <f aca="false">IF(A1082="","",IFERROR(INDEX(FX!$B:$B,MATCH(A1082,FX!$A:$A,1)),""))</f>
        <v/>
      </c>
      <c r="D1082" s="14" t="str">
        <f aca="false">IF(A1082="","",SUMIFS(Transactions!$D:$D,Transactions!$A:$A,"&lt;="&amp;A1082,Transactions!$B:$B,Settings!$B$1))</f>
        <v/>
      </c>
      <c r="E1082" s="14" t="str">
        <f aca="false">IF(A1082="","",SUMIFS(Transactions!$C:$C,Transactions!$A:$A,"&lt;="&amp;A1082,Transactions!$B:$B,Settings!$B$1)+SUMIFS(Transactions!$F:$F,Transactions!$A:$A,"&lt;="&amp;A1082,Transactions!$B:$B,Settings!$B$1))</f>
        <v/>
      </c>
      <c r="F1082" s="14" t="str">
        <f aca="false">IF(A1082="","",IF(C1082="","",D1082*B1082*C1082))</f>
        <v/>
      </c>
      <c r="G1082" s="14" t="str">
        <f aca="false">IF(F1082="","",F1082-E1082)</f>
        <v/>
      </c>
      <c r="H1082" s="14" t="str">
        <f aca="false">IF(F1082="","",IFERROR(F1082-F1081-(E1082-E1081),0))</f>
        <v/>
      </c>
    </row>
    <row r="1083" customFormat="false" ht="15" hidden="false" customHeight="false" outlineLevel="0" collapsed="false">
      <c r="A1083" s="13" t="str">
        <f aca="false">IF(Prices!A1083="","",Prices!A1083)</f>
        <v/>
      </c>
      <c r="B1083" s="14" t="str">
        <f aca="false">IF(A1083="","",Prices!C1083)</f>
        <v/>
      </c>
      <c r="C1083" s="15" t="str">
        <f aca="false">IF(A1083="","",IFERROR(INDEX(FX!$B:$B,MATCH(A1083,FX!$A:$A,1)),""))</f>
        <v/>
      </c>
      <c r="D1083" s="14" t="str">
        <f aca="false">IF(A1083="","",SUMIFS(Transactions!$D:$D,Transactions!$A:$A,"&lt;="&amp;A1083,Transactions!$B:$B,Settings!$B$1))</f>
        <v/>
      </c>
      <c r="E1083" s="14" t="str">
        <f aca="false">IF(A1083="","",SUMIFS(Transactions!$C:$C,Transactions!$A:$A,"&lt;="&amp;A1083,Transactions!$B:$B,Settings!$B$1)+SUMIFS(Transactions!$F:$F,Transactions!$A:$A,"&lt;="&amp;A1083,Transactions!$B:$B,Settings!$B$1))</f>
        <v/>
      </c>
      <c r="F1083" s="14" t="str">
        <f aca="false">IF(A1083="","",IF(C1083="","",D1083*B1083*C1083))</f>
        <v/>
      </c>
      <c r="G1083" s="14" t="str">
        <f aca="false">IF(F1083="","",F1083-E1083)</f>
        <v/>
      </c>
      <c r="H1083" s="14" t="str">
        <f aca="false">IF(F1083="","",IFERROR(F1083-F1082-(E1083-E1082),0))</f>
        <v/>
      </c>
    </row>
    <row r="1084" customFormat="false" ht="15" hidden="false" customHeight="false" outlineLevel="0" collapsed="false">
      <c r="A1084" s="13" t="str">
        <f aca="false">IF(Prices!A1084="","",Prices!A1084)</f>
        <v/>
      </c>
      <c r="B1084" s="14" t="str">
        <f aca="false">IF(A1084="","",Prices!C1084)</f>
        <v/>
      </c>
      <c r="C1084" s="15" t="str">
        <f aca="false">IF(A1084="","",IFERROR(INDEX(FX!$B:$B,MATCH(A1084,FX!$A:$A,1)),""))</f>
        <v/>
      </c>
      <c r="D1084" s="14" t="str">
        <f aca="false">IF(A1084="","",SUMIFS(Transactions!$D:$D,Transactions!$A:$A,"&lt;="&amp;A1084,Transactions!$B:$B,Settings!$B$1))</f>
        <v/>
      </c>
      <c r="E1084" s="14" t="str">
        <f aca="false">IF(A1084="","",SUMIFS(Transactions!$C:$C,Transactions!$A:$A,"&lt;="&amp;A1084,Transactions!$B:$B,Settings!$B$1)+SUMIFS(Transactions!$F:$F,Transactions!$A:$A,"&lt;="&amp;A1084,Transactions!$B:$B,Settings!$B$1))</f>
        <v/>
      </c>
      <c r="F1084" s="14" t="str">
        <f aca="false">IF(A1084="","",IF(C1084="","",D1084*B1084*C1084))</f>
        <v/>
      </c>
      <c r="G1084" s="14" t="str">
        <f aca="false">IF(F1084="","",F1084-E1084)</f>
        <v/>
      </c>
      <c r="H1084" s="14" t="str">
        <f aca="false">IF(F1084="","",IFERROR(F1084-F1083-(E1084-E1083),0))</f>
        <v/>
      </c>
    </row>
    <row r="1085" customFormat="false" ht="15" hidden="false" customHeight="false" outlineLevel="0" collapsed="false">
      <c r="A1085" s="13" t="str">
        <f aca="false">IF(Prices!A1085="","",Prices!A1085)</f>
        <v/>
      </c>
      <c r="B1085" s="14" t="str">
        <f aca="false">IF(A1085="","",Prices!C1085)</f>
        <v/>
      </c>
      <c r="C1085" s="15" t="str">
        <f aca="false">IF(A1085="","",IFERROR(INDEX(FX!$B:$B,MATCH(A1085,FX!$A:$A,1)),""))</f>
        <v/>
      </c>
      <c r="D1085" s="14" t="str">
        <f aca="false">IF(A1085="","",SUMIFS(Transactions!$D:$D,Transactions!$A:$A,"&lt;="&amp;A1085,Transactions!$B:$B,Settings!$B$1))</f>
        <v/>
      </c>
      <c r="E1085" s="14" t="str">
        <f aca="false">IF(A1085="","",SUMIFS(Transactions!$C:$C,Transactions!$A:$A,"&lt;="&amp;A1085,Transactions!$B:$B,Settings!$B$1)+SUMIFS(Transactions!$F:$F,Transactions!$A:$A,"&lt;="&amp;A1085,Transactions!$B:$B,Settings!$B$1))</f>
        <v/>
      </c>
      <c r="F1085" s="14" t="str">
        <f aca="false">IF(A1085="","",IF(C1085="","",D1085*B1085*C1085))</f>
        <v/>
      </c>
      <c r="G1085" s="14" t="str">
        <f aca="false">IF(F1085="","",F1085-E1085)</f>
        <v/>
      </c>
      <c r="H1085" s="14" t="str">
        <f aca="false">IF(F1085="","",IFERROR(F1085-F1084-(E1085-E1084),0))</f>
        <v/>
      </c>
    </row>
    <row r="1086" customFormat="false" ht="15" hidden="false" customHeight="false" outlineLevel="0" collapsed="false">
      <c r="A1086" s="13" t="str">
        <f aca="false">IF(Prices!A1086="","",Prices!A1086)</f>
        <v/>
      </c>
      <c r="B1086" s="14" t="str">
        <f aca="false">IF(A1086="","",Prices!C1086)</f>
        <v/>
      </c>
      <c r="C1086" s="15" t="str">
        <f aca="false">IF(A1086="","",IFERROR(INDEX(FX!$B:$B,MATCH(A1086,FX!$A:$A,1)),""))</f>
        <v/>
      </c>
      <c r="D1086" s="14" t="str">
        <f aca="false">IF(A1086="","",SUMIFS(Transactions!$D:$D,Transactions!$A:$A,"&lt;="&amp;A1086,Transactions!$B:$B,Settings!$B$1))</f>
        <v/>
      </c>
      <c r="E1086" s="14" t="str">
        <f aca="false">IF(A1086="","",SUMIFS(Transactions!$C:$C,Transactions!$A:$A,"&lt;="&amp;A1086,Transactions!$B:$B,Settings!$B$1)+SUMIFS(Transactions!$F:$F,Transactions!$A:$A,"&lt;="&amp;A1086,Transactions!$B:$B,Settings!$B$1))</f>
        <v/>
      </c>
      <c r="F1086" s="14" t="str">
        <f aca="false">IF(A1086="","",IF(C1086="","",D1086*B1086*C1086))</f>
        <v/>
      </c>
      <c r="G1086" s="14" t="str">
        <f aca="false">IF(F1086="","",F1086-E1086)</f>
        <v/>
      </c>
      <c r="H1086" s="14" t="str">
        <f aca="false">IF(F1086="","",IFERROR(F1086-F1085-(E1086-E1085),0))</f>
        <v/>
      </c>
    </row>
    <row r="1087" customFormat="false" ht="15" hidden="false" customHeight="false" outlineLevel="0" collapsed="false">
      <c r="A1087" s="13" t="str">
        <f aca="false">IF(Prices!A1087="","",Prices!A1087)</f>
        <v/>
      </c>
      <c r="B1087" s="14" t="str">
        <f aca="false">IF(A1087="","",Prices!C1087)</f>
        <v/>
      </c>
      <c r="C1087" s="15" t="str">
        <f aca="false">IF(A1087="","",IFERROR(INDEX(FX!$B:$B,MATCH(A1087,FX!$A:$A,1)),""))</f>
        <v/>
      </c>
      <c r="D1087" s="14" t="str">
        <f aca="false">IF(A1087="","",SUMIFS(Transactions!$D:$D,Transactions!$A:$A,"&lt;="&amp;A1087,Transactions!$B:$B,Settings!$B$1))</f>
        <v/>
      </c>
      <c r="E1087" s="14" t="str">
        <f aca="false">IF(A1087="","",SUMIFS(Transactions!$C:$C,Transactions!$A:$A,"&lt;="&amp;A1087,Transactions!$B:$B,Settings!$B$1)+SUMIFS(Transactions!$F:$F,Transactions!$A:$A,"&lt;="&amp;A1087,Transactions!$B:$B,Settings!$B$1))</f>
        <v/>
      </c>
      <c r="F1087" s="14" t="str">
        <f aca="false">IF(A1087="","",IF(C1087="","",D1087*B1087*C1087))</f>
        <v/>
      </c>
      <c r="G1087" s="14" t="str">
        <f aca="false">IF(F1087="","",F1087-E1087)</f>
        <v/>
      </c>
      <c r="H1087" s="14" t="str">
        <f aca="false">IF(F1087="","",IFERROR(F1087-F1086-(E1087-E1086),0))</f>
        <v/>
      </c>
    </row>
    <row r="1088" customFormat="false" ht="15" hidden="false" customHeight="false" outlineLevel="0" collapsed="false">
      <c r="A1088" s="13" t="str">
        <f aca="false">IF(Prices!A1088="","",Prices!A1088)</f>
        <v/>
      </c>
      <c r="B1088" s="14" t="str">
        <f aca="false">IF(A1088="","",Prices!C1088)</f>
        <v/>
      </c>
      <c r="C1088" s="15" t="str">
        <f aca="false">IF(A1088="","",IFERROR(INDEX(FX!$B:$B,MATCH(A1088,FX!$A:$A,1)),""))</f>
        <v/>
      </c>
      <c r="D1088" s="14" t="str">
        <f aca="false">IF(A1088="","",SUMIFS(Transactions!$D:$D,Transactions!$A:$A,"&lt;="&amp;A1088,Transactions!$B:$B,Settings!$B$1))</f>
        <v/>
      </c>
      <c r="E1088" s="14" t="str">
        <f aca="false">IF(A1088="","",SUMIFS(Transactions!$C:$C,Transactions!$A:$A,"&lt;="&amp;A1088,Transactions!$B:$B,Settings!$B$1)+SUMIFS(Transactions!$F:$F,Transactions!$A:$A,"&lt;="&amp;A1088,Transactions!$B:$B,Settings!$B$1))</f>
        <v/>
      </c>
      <c r="F1088" s="14" t="str">
        <f aca="false">IF(A1088="","",IF(C1088="","",D1088*B1088*C1088))</f>
        <v/>
      </c>
      <c r="G1088" s="14" t="str">
        <f aca="false">IF(F1088="","",F1088-E1088)</f>
        <v/>
      </c>
      <c r="H1088" s="14" t="str">
        <f aca="false">IF(F1088="","",IFERROR(F1088-F1087-(E1088-E1087),0))</f>
        <v/>
      </c>
    </row>
    <row r="1089" customFormat="false" ht="15" hidden="false" customHeight="false" outlineLevel="0" collapsed="false">
      <c r="A1089" s="13" t="str">
        <f aca="false">IF(Prices!A1089="","",Prices!A1089)</f>
        <v/>
      </c>
      <c r="B1089" s="14" t="str">
        <f aca="false">IF(A1089="","",Prices!C1089)</f>
        <v/>
      </c>
      <c r="C1089" s="15" t="str">
        <f aca="false">IF(A1089="","",IFERROR(INDEX(FX!$B:$B,MATCH(A1089,FX!$A:$A,1)),""))</f>
        <v/>
      </c>
      <c r="D1089" s="14" t="str">
        <f aca="false">IF(A1089="","",SUMIFS(Transactions!$D:$D,Transactions!$A:$A,"&lt;="&amp;A1089,Transactions!$B:$B,Settings!$B$1))</f>
        <v/>
      </c>
      <c r="E1089" s="14" t="str">
        <f aca="false">IF(A1089="","",SUMIFS(Transactions!$C:$C,Transactions!$A:$A,"&lt;="&amp;A1089,Transactions!$B:$B,Settings!$B$1)+SUMIFS(Transactions!$F:$F,Transactions!$A:$A,"&lt;="&amp;A1089,Transactions!$B:$B,Settings!$B$1))</f>
        <v/>
      </c>
      <c r="F1089" s="14" t="str">
        <f aca="false">IF(A1089="","",IF(C1089="","",D1089*B1089*C1089))</f>
        <v/>
      </c>
      <c r="G1089" s="14" t="str">
        <f aca="false">IF(F1089="","",F1089-E1089)</f>
        <v/>
      </c>
      <c r="H1089" s="14" t="str">
        <f aca="false">IF(F1089="","",IFERROR(F1089-F1088-(E1089-E1088),0))</f>
        <v/>
      </c>
    </row>
    <row r="1090" customFormat="false" ht="15" hidden="false" customHeight="false" outlineLevel="0" collapsed="false">
      <c r="A1090" s="13" t="str">
        <f aca="false">IF(Prices!A1090="","",Prices!A1090)</f>
        <v/>
      </c>
      <c r="B1090" s="14" t="str">
        <f aca="false">IF(A1090="","",Prices!C1090)</f>
        <v/>
      </c>
      <c r="C1090" s="15" t="str">
        <f aca="false">IF(A1090="","",IFERROR(INDEX(FX!$B:$B,MATCH(A1090,FX!$A:$A,1)),""))</f>
        <v/>
      </c>
      <c r="D1090" s="14" t="str">
        <f aca="false">IF(A1090="","",SUMIFS(Transactions!$D:$D,Transactions!$A:$A,"&lt;="&amp;A1090,Transactions!$B:$B,Settings!$B$1))</f>
        <v/>
      </c>
      <c r="E1090" s="14" t="str">
        <f aca="false">IF(A1090="","",SUMIFS(Transactions!$C:$C,Transactions!$A:$A,"&lt;="&amp;A1090,Transactions!$B:$B,Settings!$B$1)+SUMIFS(Transactions!$F:$F,Transactions!$A:$A,"&lt;="&amp;A1090,Transactions!$B:$B,Settings!$B$1))</f>
        <v/>
      </c>
      <c r="F1090" s="14" t="str">
        <f aca="false">IF(A1090="","",IF(C1090="","",D1090*B1090*C1090))</f>
        <v/>
      </c>
      <c r="G1090" s="14" t="str">
        <f aca="false">IF(F1090="","",F1090-E1090)</f>
        <v/>
      </c>
      <c r="H1090" s="14" t="str">
        <f aca="false">IF(F1090="","",IFERROR(F1090-F1089-(E1090-E1089),0))</f>
        <v/>
      </c>
    </row>
    <row r="1091" customFormat="false" ht="15" hidden="false" customHeight="false" outlineLevel="0" collapsed="false">
      <c r="A1091" s="13" t="str">
        <f aca="false">IF(Prices!A1091="","",Prices!A1091)</f>
        <v/>
      </c>
      <c r="B1091" s="14" t="str">
        <f aca="false">IF(A1091="","",Prices!C1091)</f>
        <v/>
      </c>
      <c r="C1091" s="15" t="str">
        <f aca="false">IF(A1091="","",IFERROR(INDEX(FX!$B:$B,MATCH(A1091,FX!$A:$A,1)),""))</f>
        <v/>
      </c>
      <c r="D1091" s="14" t="str">
        <f aca="false">IF(A1091="","",SUMIFS(Transactions!$D:$D,Transactions!$A:$A,"&lt;="&amp;A1091,Transactions!$B:$B,Settings!$B$1))</f>
        <v/>
      </c>
      <c r="E1091" s="14" t="str">
        <f aca="false">IF(A1091="","",SUMIFS(Transactions!$C:$C,Transactions!$A:$A,"&lt;="&amp;A1091,Transactions!$B:$B,Settings!$B$1)+SUMIFS(Transactions!$F:$F,Transactions!$A:$A,"&lt;="&amp;A1091,Transactions!$B:$B,Settings!$B$1))</f>
        <v/>
      </c>
      <c r="F1091" s="14" t="str">
        <f aca="false">IF(A1091="","",IF(C1091="","",D1091*B1091*C1091))</f>
        <v/>
      </c>
      <c r="G1091" s="14" t="str">
        <f aca="false">IF(F1091="","",F1091-E1091)</f>
        <v/>
      </c>
      <c r="H1091" s="14" t="str">
        <f aca="false">IF(F1091="","",IFERROR(F1091-F1090-(E1091-E1090),0))</f>
        <v/>
      </c>
    </row>
    <row r="1092" customFormat="false" ht="15" hidden="false" customHeight="false" outlineLevel="0" collapsed="false">
      <c r="A1092" s="13" t="str">
        <f aca="false">IF(Prices!A1092="","",Prices!A1092)</f>
        <v/>
      </c>
      <c r="B1092" s="14" t="str">
        <f aca="false">IF(A1092="","",Prices!C1092)</f>
        <v/>
      </c>
      <c r="C1092" s="15" t="str">
        <f aca="false">IF(A1092="","",IFERROR(INDEX(FX!$B:$B,MATCH(A1092,FX!$A:$A,1)),""))</f>
        <v/>
      </c>
      <c r="D1092" s="14" t="str">
        <f aca="false">IF(A1092="","",SUMIFS(Transactions!$D:$D,Transactions!$A:$A,"&lt;="&amp;A1092,Transactions!$B:$B,Settings!$B$1))</f>
        <v/>
      </c>
      <c r="E1092" s="14" t="str">
        <f aca="false">IF(A1092="","",SUMIFS(Transactions!$C:$C,Transactions!$A:$A,"&lt;="&amp;A1092,Transactions!$B:$B,Settings!$B$1)+SUMIFS(Transactions!$F:$F,Transactions!$A:$A,"&lt;="&amp;A1092,Transactions!$B:$B,Settings!$B$1))</f>
        <v/>
      </c>
      <c r="F1092" s="14" t="str">
        <f aca="false">IF(A1092="","",IF(C1092="","",D1092*B1092*C1092))</f>
        <v/>
      </c>
      <c r="G1092" s="14" t="str">
        <f aca="false">IF(F1092="","",F1092-E1092)</f>
        <v/>
      </c>
      <c r="H1092" s="14" t="str">
        <f aca="false">IF(F1092="","",IFERROR(F1092-F1091-(E1092-E1091),0))</f>
        <v/>
      </c>
    </row>
    <row r="1093" customFormat="false" ht="15" hidden="false" customHeight="false" outlineLevel="0" collapsed="false">
      <c r="A1093" s="13" t="str">
        <f aca="false">IF(Prices!A1093="","",Prices!A1093)</f>
        <v/>
      </c>
      <c r="B1093" s="14" t="str">
        <f aca="false">IF(A1093="","",Prices!C1093)</f>
        <v/>
      </c>
      <c r="C1093" s="15" t="str">
        <f aca="false">IF(A1093="","",IFERROR(INDEX(FX!$B:$B,MATCH(A1093,FX!$A:$A,1)),""))</f>
        <v/>
      </c>
      <c r="D1093" s="14" t="str">
        <f aca="false">IF(A1093="","",SUMIFS(Transactions!$D:$D,Transactions!$A:$A,"&lt;="&amp;A1093,Transactions!$B:$B,Settings!$B$1))</f>
        <v/>
      </c>
      <c r="E1093" s="14" t="str">
        <f aca="false">IF(A1093="","",SUMIFS(Transactions!$C:$C,Transactions!$A:$A,"&lt;="&amp;A1093,Transactions!$B:$B,Settings!$B$1)+SUMIFS(Transactions!$F:$F,Transactions!$A:$A,"&lt;="&amp;A1093,Transactions!$B:$B,Settings!$B$1))</f>
        <v/>
      </c>
      <c r="F1093" s="14" t="str">
        <f aca="false">IF(A1093="","",IF(C1093="","",D1093*B1093*C1093))</f>
        <v/>
      </c>
      <c r="G1093" s="14" t="str">
        <f aca="false">IF(F1093="","",F1093-E1093)</f>
        <v/>
      </c>
      <c r="H1093" s="14" t="str">
        <f aca="false">IF(F1093="","",IFERROR(F1093-F1092-(E1093-E1092),0))</f>
        <v/>
      </c>
    </row>
    <row r="1094" customFormat="false" ht="15" hidden="false" customHeight="false" outlineLevel="0" collapsed="false">
      <c r="A1094" s="13" t="str">
        <f aca="false">IF(Prices!A1094="","",Prices!A1094)</f>
        <v/>
      </c>
      <c r="B1094" s="14" t="str">
        <f aca="false">IF(A1094="","",Prices!C1094)</f>
        <v/>
      </c>
      <c r="C1094" s="15" t="str">
        <f aca="false">IF(A1094="","",IFERROR(INDEX(FX!$B:$B,MATCH(A1094,FX!$A:$A,1)),""))</f>
        <v/>
      </c>
      <c r="D1094" s="14" t="str">
        <f aca="false">IF(A1094="","",SUMIFS(Transactions!$D:$D,Transactions!$A:$A,"&lt;="&amp;A1094,Transactions!$B:$B,Settings!$B$1))</f>
        <v/>
      </c>
      <c r="E1094" s="14" t="str">
        <f aca="false">IF(A1094="","",SUMIFS(Transactions!$C:$C,Transactions!$A:$A,"&lt;="&amp;A1094,Transactions!$B:$B,Settings!$B$1)+SUMIFS(Transactions!$F:$F,Transactions!$A:$A,"&lt;="&amp;A1094,Transactions!$B:$B,Settings!$B$1))</f>
        <v/>
      </c>
      <c r="F1094" s="14" t="str">
        <f aca="false">IF(A1094="","",IF(C1094="","",D1094*B1094*C1094))</f>
        <v/>
      </c>
      <c r="G1094" s="14" t="str">
        <f aca="false">IF(F1094="","",F1094-E1094)</f>
        <v/>
      </c>
      <c r="H1094" s="14" t="str">
        <f aca="false">IF(F1094="","",IFERROR(F1094-F1093-(E1094-E1093),0))</f>
        <v/>
      </c>
    </row>
    <row r="1095" customFormat="false" ht="15" hidden="false" customHeight="false" outlineLevel="0" collapsed="false">
      <c r="A1095" s="13" t="str">
        <f aca="false">IF(Prices!A1095="","",Prices!A1095)</f>
        <v/>
      </c>
      <c r="B1095" s="14" t="str">
        <f aca="false">IF(A1095="","",Prices!C1095)</f>
        <v/>
      </c>
      <c r="C1095" s="15" t="str">
        <f aca="false">IF(A1095="","",IFERROR(INDEX(FX!$B:$B,MATCH(A1095,FX!$A:$A,1)),""))</f>
        <v/>
      </c>
      <c r="D1095" s="14" t="str">
        <f aca="false">IF(A1095="","",SUMIFS(Transactions!$D:$D,Transactions!$A:$A,"&lt;="&amp;A1095,Transactions!$B:$B,Settings!$B$1))</f>
        <v/>
      </c>
      <c r="E1095" s="14" t="str">
        <f aca="false">IF(A1095="","",SUMIFS(Transactions!$C:$C,Transactions!$A:$A,"&lt;="&amp;A1095,Transactions!$B:$B,Settings!$B$1)+SUMIFS(Transactions!$F:$F,Transactions!$A:$A,"&lt;="&amp;A1095,Transactions!$B:$B,Settings!$B$1))</f>
        <v/>
      </c>
      <c r="F1095" s="14" t="str">
        <f aca="false">IF(A1095="","",IF(C1095="","",D1095*B1095*C1095))</f>
        <v/>
      </c>
      <c r="G1095" s="14" t="str">
        <f aca="false">IF(F1095="","",F1095-E1095)</f>
        <v/>
      </c>
      <c r="H1095" s="14" t="str">
        <f aca="false">IF(F1095="","",IFERROR(F1095-F1094-(E1095-E1094),0))</f>
        <v/>
      </c>
    </row>
    <row r="1096" customFormat="false" ht="15" hidden="false" customHeight="false" outlineLevel="0" collapsed="false">
      <c r="A1096" s="13" t="str">
        <f aca="false">IF(Prices!A1096="","",Prices!A1096)</f>
        <v/>
      </c>
      <c r="B1096" s="14" t="str">
        <f aca="false">IF(A1096="","",Prices!C1096)</f>
        <v/>
      </c>
      <c r="C1096" s="15" t="str">
        <f aca="false">IF(A1096="","",IFERROR(INDEX(FX!$B:$B,MATCH(A1096,FX!$A:$A,1)),""))</f>
        <v/>
      </c>
      <c r="D1096" s="14" t="str">
        <f aca="false">IF(A1096="","",SUMIFS(Transactions!$D:$D,Transactions!$A:$A,"&lt;="&amp;A1096,Transactions!$B:$B,Settings!$B$1))</f>
        <v/>
      </c>
      <c r="E1096" s="14" t="str">
        <f aca="false">IF(A1096="","",SUMIFS(Transactions!$C:$C,Transactions!$A:$A,"&lt;="&amp;A1096,Transactions!$B:$B,Settings!$B$1)+SUMIFS(Transactions!$F:$F,Transactions!$A:$A,"&lt;="&amp;A1096,Transactions!$B:$B,Settings!$B$1))</f>
        <v/>
      </c>
      <c r="F1096" s="14" t="str">
        <f aca="false">IF(A1096="","",IF(C1096="","",D1096*B1096*C1096))</f>
        <v/>
      </c>
      <c r="G1096" s="14" t="str">
        <f aca="false">IF(F1096="","",F1096-E1096)</f>
        <v/>
      </c>
      <c r="H1096" s="14" t="str">
        <f aca="false">IF(F1096="","",IFERROR(F1096-F1095-(E1096-E1095),0))</f>
        <v/>
      </c>
    </row>
    <row r="1097" customFormat="false" ht="15" hidden="false" customHeight="false" outlineLevel="0" collapsed="false">
      <c r="A1097" s="13" t="str">
        <f aca="false">IF(Prices!A1097="","",Prices!A1097)</f>
        <v/>
      </c>
      <c r="B1097" s="14" t="str">
        <f aca="false">IF(A1097="","",Prices!C1097)</f>
        <v/>
      </c>
      <c r="C1097" s="15" t="str">
        <f aca="false">IF(A1097="","",IFERROR(INDEX(FX!$B:$B,MATCH(A1097,FX!$A:$A,1)),""))</f>
        <v/>
      </c>
      <c r="D1097" s="14" t="str">
        <f aca="false">IF(A1097="","",SUMIFS(Transactions!$D:$D,Transactions!$A:$A,"&lt;="&amp;A1097,Transactions!$B:$B,Settings!$B$1))</f>
        <v/>
      </c>
      <c r="E1097" s="14" t="str">
        <f aca="false">IF(A1097="","",SUMIFS(Transactions!$C:$C,Transactions!$A:$A,"&lt;="&amp;A1097,Transactions!$B:$B,Settings!$B$1)+SUMIFS(Transactions!$F:$F,Transactions!$A:$A,"&lt;="&amp;A1097,Transactions!$B:$B,Settings!$B$1))</f>
        <v/>
      </c>
      <c r="F1097" s="14" t="str">
        <f aca="false">IF(A1097="","",IF(C1097="","",D1097*B1097*C1097))</f>
        <v/>
      </c>
      <c r="G1097" s="14" t="str">
        <f aca="false">IF(F1097="","",F1097-E1097)</f>
        <v/>
      </c>
      <c r="H1097" s="14" t="str">
        <f aca="false">IF(F1097="","",IFERROR(F1097-F1096-(E1097-E1096),0))</f>
        <v/>
      </c>
    </row>
    <row r="1098" customFormat="false" ht="15" hidden="false" customHeight="false" outlineLevel="0" collapsed="false">
      <c r="A1098" s="13" t="str">
        <f aca="false">IF(Prices!A1098="","",Prices!A1098)</f>
        <v/>
      </c>
      <c r="B1098" s="14" t="str">
        <f aca="false">IF(A1098="","",Prices!C1098)</f>
        <v/>
      </c>
      <c r="C1098" s="15" t="str">
        <f aca="false">IF(A1098="","",IFERROR(INDEX(FX!$B:$B,MATCH(A1098,FX!$A:$A,1)),""))</f>
        <v/>
      </c>
      <c r="D1098" s="14" t="str">
        <f aca="false">IF(A1098="","",SUMIFS(Transactions!$D:$D,Transactions!$A:$A,"&lt;="&amp;A1098,Transactions!$B:$B,Settings!$B$1))</f>
        <v/>
      </c>
      <c r="E1098" s="14" t="str">
        <f aca="false">IF(A1098="","",SUMIFS(Transactions!$C:$C,Transactions!$A:$A,"&lt;="&amp;A1098,Transactions!$B:$B,Settings!$B$1)+SUMIFS(Transactions!$F:$F,Transactions!$A:$A,"&lt;="&amp;A1098,Transactions!$B:$B,Settings!$B$1))</f>
        <v/>
      </c>
      <c r="F1098" s="14" t="str">
        <f aca="false">IF(A1098="","",IF(C1098="","",D1098*B1098*C1098))</f>
        <v/>
      </c>
      <c r="G1098" s="14" t="str">
        <f aca="false">IF(F1098="","",F1098-E1098)</f>
        <v/>
      </c>
      <c r="H1098" s="14" t="str">
        <f aca="false">IF(F1098="","",IFERROR(F1098-F1097-(E1098-E1097),0))</f>
        <v/>
      </c>
    </row>
    <row r="1099" customFormat="false" ht="15" hidden="false" customHeight="false" outlineLevel="0" collapsed="false">
      <c r="A1099" s="13" t="str">
        <f aca="false">IF(Prices!A1099="","",Prices!A1099)</f>
        <v/>
      </c>
      <c r="B1099" s="14" t="str">
        <f aca="false">IF(A1099="","",Prices!C1099)</f>
        <v/>
      </c>
      <c r="C1099" s="15" t="str">
        <f aca="false">IF(A1099="","",IFERROR(INDEX(FX!$B:$B,MATCH(A1099,FX!$A:$A,1)),""))</f>
        <v/>
      </c>
      <c r="D1099" s="14" t="str">
        <f aca="false">IF(A1099="","",SUMIFS(Transactions!$D:$D,Transactions!$A:$A,"&lt;="&amp;A1099,Transactions!$B:$B,Settings!$B$1))</f>
        <v/>
      </c>
      <c r="E1099" s="14" t="str">
        <f aca="false">IF(A1099="","",SUMIFS(Transactions!$C:$C,Transactions!$A:$A,"&lt;="&amp;A1099,Transactions!$B:$B,Settings!$B$1)+SUMIFS(Transactions!$F:$F,Transactions!$A:$A,"&lt;="&amp;A1099,Transactions!$B:$B,Settings!$B$1))</f>
        <v/>
      </c>
      <c r="F1099" s="14" t="str">
        <f aca="false">IF(A1099="","",IF(C1099="","",D1099*B1099*C1099))</f>
        <v/>
      </c>
      <c r="G1099" s="14" t="str">
        <f aca="false">IF(F1099="","",F1099-E1099)</f>
        <v/>
      </c>
      <c r="H1099" s="14" t="str">
        <f aca="false">IF(F1099="","",IFERROR(F1099-F1098-(E1099-E1098),0))</f>
        <v/>
      </c>
    </row>
    <row r="1100" customFormat="false" ht="15" hidden="false" customHeight="false" outlineLevel="0" collapsed="false">
      <c r="A1100" s="13" t="str">
        <f aca="false">IF(Prices!A1100="","",Prices!A1100)</f>
        <v/>
      </c>
      <c r="B1100" s="14" t="str">
        <f aca="false">IF(A1100="","",Prices!C1100)</f>
        <v/>
      </c>
      <c r="C1100" s="15" t="str">
        <f aca="false">IF(A1100="","",IFERROR(INDEX(FX!$B:$B,MATCH(A1100,FX!$A:$A,1)),""))</f>
        <v/>
      </c>
      <c r="D1100" s="14" t="str">
        <f aca="false">IF(A1100="","",SUMIFS(Transactions!$D:$D,Transactions!$A:$A,"&lt;="&amp;A1100,Transactions!$B:$B,Settings!$B$1))</f>
        <v/>
      </c>
      <c r="E1100" s="14" t="str">
        <f aca="false">IF(A1100="","",SUMIFS(Transactions!$C:$C,Transactions!$A:$A,"&lt;="&amp;A1100,Transactions!$B:$B,Settings!$B$1)+SUMIFS(Transactions!$F:$F,Transactions!$A:$A,"&lt;="&amp;A1100,Transactions!$B:$B,Settings!$B$1))</f>
        <v/>
      </c>
      <c r="F1100" s="14" t="str">
        <f aca="false">IF(A1100="","",IF(C1100="","",D1100*B1100*C1100))</f>
        <v/>
      </c>
      <c r="G1100" s="14" t="str">
        <f aca="false">IF(F1100="","",F1100-E1100)</f>
        <v/>
      </c>
      <c r="H1100" s="14" t="str">
        <f aca="false">IF(F1100="","",IFERROR(F1100-F1099-(E1100-E1099),0))</f>
        <v/>
      </c>
    </row>
    <row r="1101" customFormat="false" ht="15" hidden="false" customHeight="false" outlineLevel="0" collapsed="false">
      <c r="A1101" s="13" t="str">
        <f aca="false">IF(Prices!A1101="","",Prices!A1101)</f>
        <v/>
      </c>
      <c r="B1101" s="14" t="str">
        <f aca="false">IF(A1101="","",Prices!C1101)</f>
        <v/>
      </c>
      <c r="C1101" s="15" t="str">
        <f aca="false">IF(A1101="","",IFERROR(INDEX(FX!$B:$B,MATCH(A1101,FX!$A:$A,1)),""))</f>
        <v/>
      </c>
      <c r="D1101" s="14" t="str">
        <f aca="false">IF(A1101="","",SUMIFS(Transactions!$D:$D,Transactions!$A:$A,"&lt;="&amp;A1101,Transactions!$B:$B,Settings!$B$1))</f>
        <v/>
      </c>
      <c r="E1101" s="14" t="str">
        <f aca="false">IF(A1101="","",SUMIFS(Transactions!$C:$C,Transactions!$A:$A,"&lt;="&amp;A1101,Transactions!$B:$B,Settings!$B$1)+SUMIFS(Transactions!$F:$F,Transactions!$A:$A,"&lt;="&amp;A1101,Transactions!$B:$B,Settings!$B$1))</f>
        <v/>
      </c>
      <c r="F1101" s="14" t="str">
        <f aca="false">IF(A1101="","",IF(C1101="","",D1101*B1101*C1101))</f>
        <v/>
      </c>
      <c r="G1101" s="14" t="str">
        <f aca="false">IF(F1101="","",F1101-E1101)</f>
        <v/>
      </c>
      <c r="H1101" s="14" t="str">
        <f aca="false">IF(F1101="","",IFERROR(F1101-F1100-(E1101-E1100),0))</f>
        <v/>
      </c>
    </row>
    <row r="1102" customFormat="false" ht="15" hidden="false" customHeight="false" outlineLevel="0" collapsed="false">
      <c r="A1102" s="13" t="str">
        <f aca="false">IF(Prices!A1102="","",Prices!A1102)</f>
        <v/>
      </c>
      <c r="B1102" s="14" t="str">
        <f aca="false">IF(A1102="","",Prices!C1102)</f>
        <v/>
      </c>
      <c r="C1102" s="15" t="str">
        <f aca="false">IF(A1102="","",IFERROR(INDEX(FX!$B:$B,MATCH(A1102,FX!$A:$A,1)),""))</f>
        <v/>
      </c>
      <c r="D1102" s="14" t="str">
        <f aca="false">IF(A1102="","",SUMIFS(Transactions!$D:$D,Transactions!$A:$A,"&lt;="&amp;A1102,Transactions!$B:$B,Settings!$B$1))</f>
        <v/>
      </c>
      <c r="E1102" s="14" t="str">
        <f aca="false">IF(A1102="","",SUMIFS(Transactions!$C:$C,Transactions!$A:$A,"&lt;="&amp;A1102,Transactions!$B:$B,Settings!$B$1)+SUMIFS(Transactions!$F:$F,Transactions!$A:$A,"&lt;="&amp;A1102,Transactions!$B:$B,Settings!$B$1))</f>
        <v/>
      </c>
      <c r="F1102" s="14" t="str">
        <f aca="false">IF(A1102="","",IF(C1102="","",D1102*B1102*C1102))</f>
        <v/>
      </c>
      <c r="G1102" s="14" t="str">
        <f aca="false">IF(F1102="","",F1102-E1102)</f>
        <v/>
      </c>
      <c r="H1102" s="14" t="str">
        <f aca="false">IF(F1102="","",IFERROR(F1102-F1101-(E1102-E1101),0))</f>
        <v/>
      </c>
    </row>
    <row r="1103" customFormat="false" ht="15" hidden="false" customHeight="false" outlineLevel="0" collapsed="false">
      <c r="A1103" s="13" t="str">
        <f aca="false">IF(Prices!A1103="","",Prices!A1103)</f>
        <v/>
      </c>
      <c r="B1103" s="14" t="str">
        <f aca="false">IF(A1103="","",Prices!C1103)</f>
        <v/>
      </c>
      <c r="C1103" s="15" t="str">
        <f aca="false">IF(A1103="","",IFERROR(INDEX(FX!$B:$B,MATCH(A1103,FX!$A:$A,1)),""))</f>
        <v/>
      </c>
      <c r="D1103" s="14" t="str">
        <f aca="false">IF(A1103="","",SUMIFS(Transactions!$D:$D,Transactions!$A:$A,"&lt;="&amp;A1103,Transactions!$B:$B,Settings!$B$1))</f>
        <v/>
      </c>
      <c r="E1103" s="14" t="str">
        <f aca="false">IF(A1103="","",SUMIFS(Transactions!$C:$C,Transactions!$A:$A,"&lt;="&amp;A1103,Transactions!$B:$B,Settings!$B$1)+SUMIFS(Transactions!$F:$F,Transactions!$A:$A,"&lt;="&amp;A1103,Transactions!$B:$B,Settings!$B$1))</f>
        <v/>
      </c>
      <c r="F1103" s="14" t="str">
        <f aca="false">IF(A1103="","",IF(C1103="","",D1103*B1103*C1103))</f>
        <v/>
      </c>
      <c r="G1103" s="14" t="str">
        <f aca="false">IF(F1103="","",F1103-E1103)</f>
        <v/>
      </c>
      <c r="H1103" s="14" t="str">
        <f aca="false">IF(F1103="","",IFERROR(F1103-F1102-(E1103-E1102),0))</f>
        <v/>
      </c>
    </row>
    <row r="1104" customFormat="false" ht="15" hidden="false" customHeight="false" outlineLevel="0" collapsed="false">
      <c r="A1104" s="13" t="str">
        <f aca="false">IF(Prices!A1104="","",Prices!A1104)</f>
        <v/>
      </c>
      <c r="B1104" s="14" t="str">
        <f aca="false">IF(A1104="","",Prices!C1104)</f>
        <v/>
      </c>
      <c r="C1104" s="15" t="str">
        <f aca="false">IF(A1104="","",IFERROR(INDEX(FX!$B:$B,MATCH(A1104,FX!$A:$A,1)),""))</f>
        <v/>
      </c>
      <c r="D1104" s="14" t="str">
        <f aca="false">IF(A1104="","",SUMIFS(Transactions!$D:$D,Transactions!$A:$A,"&lt;="&amp;A1104,Transactions!$B:$B,Settings!$B$1))</f>
        <v/>
      </c>
      <c r="E1104" s="14" t="str">
        <f aca="false">IF(A1104="","",SUMIFS(Transactions!$C:$C,Transactions!$A:$A,"&lt;="&amp;A1104,Transactions!$B:$B,Settings!$B$1)+SUMIFS(Transactions!$F:$F,Transactions!$A:$A,"&lt;="&amp;A1104,Transactions!$B:$B,Settings!$B$1))</f>
        <v/>
      </c>
      <c r="F1104" s="14" t="str">
        <f aca="false">IF(A1104="","",IF(C1104="","",D1104*B1104*C1104))</f>
        <v/>
      </c>
      <c r="G1104" s="14" t="str">
        <f aca="false">IF(F1104="","",F1104-E1104)</f>
        <v/>
      </c>
      <c r="H1104" s="14" t="str">
        <f aca="false">IF(F1104="","",IFERROR(F1104-F1103-(E1104-E1103),0))</f>
        <v/>
      </c>
    </row>
    <row r="1105" customFormat="false" ht="15" hidden="false" customHeight="false" outlineLevel="0" collapsed="false">
      <c r="A1105" s="13" t="str">
        <f aca="false">IF(Prices!A1105="","",Prices!A1105)</f>
        <v/>
      </c>
      <c r="B1105" s="14" t="str">
        <f aca="false">IF(A1105="","",Prices!C1105)</f>
        <v/>
      </c>
      <c r="C1105" s="15" t="str">
        <f aca="false">IF(A1105="","",IFERROR(INDEX(FX!$B:$B,MATCH(A1105,FX!$A:$A,1)),""))</f>
        <v/>
      </c>
      <c r="D1105" s="14" t="str">
        <f aca="false">IF(A1105="","",SUMIFS(Transactions!$D:$D,Transactions!$A:$A,"&lt;="&amp;A1105,Transactions!$B:$B,Settings!$B$1))</f>
        <v/>
      </c>
      <c r="E1105" s="14" t="str">
        <f aca="false">IF(A1105="","",SUMIFS(Transactions!$C:$C,Transactions!$A:$A,"&lt;="&amp;A1105,Transactions!$B:$B,Settings!$B$1)+SUMIFS(Transactions!$F:$F,Transactions!$A:$A,"&lt;="&amp;A1105,Transactions!$B:$B,Settings!$B$1))</f>
        <v/>
      </c>
      <c r="F1105" s="14" t="str">
        <f aca="false">IF(A1105="","",IF(C1105="","",D1105*B1105*C1105))</f>
        <v/>
      </c>
      <c r="G1105" s="14" t="str">
        <f aca="false">IF(F1105="","",F1105-E1105)</f>
        <v/>
      </c>
      <c r="H1105" s="14" t="str">
        <f aca="false">IF(F1105="","",IFERROR(F1105-F1104-(E1105-E1104),0))</f>
        <v/>
      </c>
    </row>
    <row r="1106" customFormat="false" ht="15" hidden="false" customHeight="false" outlineLevel="0" collapsed="false">
      <c r="A1106" s="13" t="str">
        <f aca="false">IF(Prices!A1106="","",Prices!A1106)</f>
        <v/>
      </c>
      <c r="B1106" s="14" t="str">
        <f aca="false">IF(A1106="","",Prices!C1106)</f>
        <v/>
      </c>
      <c r="C1106" s="15" t="str">
        <f aca="false">IF(A1106="","",IFERROR(INDEX(FX!$B:$B,MATCH(A1106,FX!$A:$A,1)),""))</f>
        <v/>
      </c>
      <c r="D1106" s="14" t="str">
        <f aca="false">IF(A1106="","",SUMIFS(Transactions!$D:$D,Transactions!$A:$A,"&lt;="&amp;A1106,Transactions!$B:$B,Settings!$B$1))</f>
        <v/>
      </c>
      <c r="E1106" s="14" t="str">
        <f aca="false">IF(A1106="","",SUMIFS(Transactions!$C:$C,Transactions!$A:$A,"&lt;="&amp;A1106,Transactions!$B:$B,Settings!$B$1)+SUMIFS(Transactions!$F:$F,Transactions!$A:$A,"&lt;="&amp;A1106,Transactions!$B:$B,Settings!$B$1))</f>
        <v/>
      </c>
      <c r="F1106" s="14" t="str">
        <f aca="false">IF(A1106="","",IF(C1106="","",D1106*B1106*C1106))</f>
        <v/>
      </c>
      <c r="G1106" s="14" t="str">
        <f aca="false">IF(F1106="","",F1106-E1106)</f>
        <v/>
      </c>
      <c r="H1106" s="14" t="str">
        <f aca="false">IF(F1106="","",IFERROR(F1106-F1105-(E1106-E1105),0))</f>
        <v/>
      </c>
    </row>
    <row r="1107" customFormat="false" ht="15" hidden="false" customHeight="false" outlineLevel="0" collapsed="false">
      <c r="A1107" s="13" t="str">
        <f aca="false">IF(Prices!A1107="","",Prices!A1107)</f>
        <v/>
      </c>
      <c r="B1107" s="14" t="str">
        <f aca="false">IF(A1107="","",Prices!C1107)</f>
        <v/>
      </c>
      <c r="C1107" s="15" t="str">
        <f aca="false">IF(A1107="","",IFERROR(INDEX(FX!$B:$B,MATCH(A1107,FX!$A:$A,1)),""))</f>
        <v/>
      </c>
      <c r="D1107" s="14" t="str">
        <f aca="false">IF(A1107="","",SUMIFS(Transactions!$D:$D,Transactions!$A:$A,"&lt;="&amp;A1107,Transactions!$B:$B,Settings!$B$1))</f>
        <v/>
      </c>
      <c r="E1107" s="14" t="str">
        <f aca="false">IF(A1107="","",SUMIFS(Transactions!$C:$C,Transactions!$A:$A,"&lt;="&amp;A1107,Transactions!$B:$B,Settings!$B$1)+SUMIFS(Transactions!$F:$F,Transactions!$A:$A,"&lt;="&amp;A1107,Transactions!$B:$B,Settings!$B$1))</f>
        <v/>
      </c>
      <c r="F1107" s="14" t="str">
        <f aca="false">IF(A1107="","",IF(C1107="","",D1107*B1107*C1107))</f>
        <v/>
      </c>
      <c r="G1107" s="14" t="str">
        <f aca="false">IF(F1107="","",F1107-E1107)</f>
        <v/>
      </c>
      <c r="H1107" s="14" t="str">
        <f aca="false">IF(F1107="","",IFERROR(F1107-F1106-(E1107-E1106),0))</f>
        <v/>
      </c>
    </row>
    <row r="1108" customFormat="false" ht="15" hidden="false" customHeight="false" outlineLevel="0" collapsed="false">
      <c r="A1108" s="13" t="str">
        <f aca="false">IF(Prices!A1108="","",Prices!A1108)</f>
        <v/>
      </c>
      <c r="B1108" s="14" t="str">
        <f aca="false">IF(A1108="","",Prices!C1108)</f>
        <v/>
      </c>
      <c r="C1108" s="15" t="str">
        <f aca="false">IF(A1108="","",IFERROR(INDEX(FX!$B:$B,MATCH(A1108,FX!$A:$A,1)),""))</f>
        <v/>
      </c>
      <c r="D1108" s="14" t="str">
        <f aca="false">IF(A1108="","",SUMIFS(Transactions!$D:$D,Transactions!$A:$A,"&lt;="&amp;A1108,Transactions!$B:$B,Settings!$B$1))</f>
        <v/>
      </c>
      <c r="E1108" s="14" t="str">
        <f aca="false">IF(A1108="","",SUMIFS(Transactions!$C:$C,Transactions!$A:$A,"&lt;="&amp;A1108,Transactions!$B:$B,Settings!$B$1)+SUMIFS(Transactions!$F:$F,Transactions!$A:$A,"&lt;="&amp;A1108,Transactions!$B:$B,Settings!$B$1))</f>
        <v/>
      </c>
      <c r="F1108" s="14" t="str">
        <f aca="false">IF(A1108="","",IF(C1108="","",D1108*B1108*C1108))</f>
        <v/>
      </c>
      <c r="G1108" s="14" t="str">
        <f aca="false">IF(F1108="","",F1108-E1108)</f>
        <v/>
      </c>
      <c r="H1108" s="14" t="str">
        <f aca="false">IF(F1108="","",IFERROR(F1108-F1107-(E1108-E1107),0))</f>
        <v/>
      </c>
    </row>
    <row r="1109" customFormat="false" ht="15" hidden="false" customHeight="false" outlineLevel="0" collapsed="false">
      <c r="A1109" s="13" t="str">
        <f aca="false">IF(Prices!A1109="","",Prices!A1109)</f>
        <v/>
      </c>
      <c r="B1109" s="14" t="str">
        <f aca="false">IF(A1109="","",Prices!C1109)</f>
        <v/>
      </c>
      <c r="C1109" s="15" t="str">
        <f aca="false">IF(A1109="","",IFERROR(INDEX(FX!$B:$B,MATCH(A1109,FX!$A:$A,1)),""))</f>
        <v/>
      </c>
      <c r="D1109" s="14" t="str">
        <f aca="false">IF(A1109="","",SUMIFS(Transactions!$D:$D,Transactions!$A:$A,"&lt;="&amp;A1109,Transactions!$B:$B,Settings!$B$1))</f>
        <v/>
      </c>
      <c r="E1109" s="14" t="str">
        <f aca="false">IF(A1109="","",SUMIFS(Transactions!$C:$C,Transactions!$A:$A,"&lt;="&amp;A1109,Transactions!$B:$B,Settings!$B$1)+SUMIFS(Transactions!$F:$F,Transactions!$A:$A,"&lt;="&amp;A1109,Transactions!$B:$B,Settings!$B$1))</f>
        <v/>
      </c>
      <c r="F1109" s="14" t="str">
        <f aca="false">IF(A1109="","",IF(C1109="","",D1109*B1109*C1109))</f>
        <v/>
      </c>
      <c r="G1109" s="14" t="str">
        <f aca="false">IF(F1109="","",F1109-E1109)</f>
        <v/>
      </c>
      <c r="H1109" s="14" t="str">
        <f aca="false">IF(F1109="","",IFERROR(F1109-F1108-(E1109-E1108),0))</f>
        <v/>
      </c>
    </row>
    <row r="1110" customFormat="false" ht="15" hidden="false" customHeight="false" outlineLevel="0" collapsed="false">
      <c r="A1110" s="13" t="str">
        <f aca="false">IF(Prices!A1110="","",Prices!A1110)</f>
        <v/>
      </c>
      <c r="B1110" s="14" t="str">
        <f aca="false">IF(A1110="","",Prices!C1110)</f>
        <v/>
      </c>
      <c r="C1110" s="15" t="str">
        <f aca="false">IF(A1110="","",IFERROR(INDEX(FX!$B:$B,MATCH(A1110,FX!$A:$A,1)),""))</f>
        <v/>
      </c>
      <c r="D1110" s="14" t="str">
        <f aca="false">IF(A1110="","",SUMIFS(Transactions!$D:$D,Transactions!$A:$A,"&lt;="&amp;A1110,Transactions!$B:$B,Settings!$B$1))</f>
        <v/>
      </c>
      <c r="E1110" s="14" t="str">
        <f aca="false">IF(A1110="","",SUMIFS(Transactions!$C:$C,Transactions!$A:$A,"&lt;="&amp;A1110,Transactions!$B:$B,Settings!$B$1)+SUMIFS(Transactions!$F:$F,Transactions!$A:$A,"&lt;="&amp;A1110,Transactions!$B:$B,Settings!$B$1))</f>
        <v/>
      </c>
      <c r="F1110" s="14" t="str">
        <f aca="false">IF(A1110="","",IF(C1110="","",D1110*B1110*C1110))</f>
        <v/>
      </c>
      <c r="G1110" s="14" t="str">
        <f aca="false">IF(F1110="","",F1110-E1110)</f>
        <v/>
      </c>
      <c r="H1110" s="14" t="str">
        <f aca="false">IF(F1110="","",IFERROR(F1110-F1109-(E1110-E1109),0))</f>
        <v/>
      </c>
    </row>
    <row r="1111" customFormat="false" ht="15" hidden="false" customHeight="false" outlineLevel="0" collapsed="false">
      <c r="A1111" s="13" t="str">
        <f aca="false">IF(Prices!A1111="","",Prices!A1111)</f>
        <v/>
      </c>
      <c r="B1111" s="14" t="str">
        <f aca="false">IF(A1111="","",Prices!C1111)</f>
        <v/>
      </c>
      <c r="C1111" s="15" t="str">
        <f aca="false">IF(A1111="","",IFERROR(INDEX(FX!$B:$B,MATCH(A1111,FX!$A:$A,1)),""))</f>
        <v/>
      </c>
      <c r="D1111" s="14" t="str">
        <f aca="false">IF(A1111="","",SUMIFS(Transactions!$D:$D,Transactions!$A:$A,"&lt;="&amp;A1111,Transactions!$B:$B,Settings!$B$1))</f>
        <v/>
      </c>
      <c r="E1111" s="14" t="str">
        <f aca="false">IF(A1111="","",SUMIFS(Transactions!$C:$C,Transactions!$A:$A,"&lt;="&amp;A1111,Transactions!$B:$B,Settings!$B$1)+SUMIFS(Transactions!$F:$F,Transactions!$A:$A,"&lt;="&amp;A1111,Transactions!$B:$B,Settings!$B$1))</f>
        <v/>
      </c>
      <c r="F1111" s="14" t="str">
        <f aca="false">IF(A1111="","",IF(C1111="","",D1111*B1111*C1111))</f>
        <v/>
      </c>
      <c r="G1111" s="14" t="str">
        <f aca="false">IF(F1111="","",F1111-E1111)</f>
        <v/>
      </c>
      <c r="H1111" s="14" t="str">
        <f aca="false">IF(F1111="","",IFERROR(F1111-F1110-(E1111-E1110),0))</f>
        <v/>
      </c>
    </row>
    <row r="1112" customFormat="false" ht="15" hidden="false" customHeight="false" outlineLevel="0" collapsed="false">
      <c r="A1112" s="13" t="str">
        <f aca="false">IF(Prices!A1112="","",Prices!A1112)</f>
        <v/>
      </c>
      <c r="B1112" s="14" t="str">
        <f aca="false">IF(A1112="","",Prices!C1112)</f>
        <v/>
      </c>
      <c r="C1112" s="15" t="str">
        <f aca="false">IF(A1112="","",IFERROR(INDEX(FX!$B:$B,MATCH(A1112,FX!$A:$A,1)),""))</f>
        <v/>
      </c>
      <c r="D1112" s="14" t="str">
        <f aca="false">IF(A1112="","",SUMIFS(Transactions!$D:$D,Transactions!$A:$A,"&lt;="&amp;A1112,Transactions!$B:$B,Settings!$B$1))</f>
        <v/>
      </c>
      <c r="E1112" s="14" t="str">
        <f aca="false">IF(A1112="","",SUMIFS(Transactions!$C:$C,Transactions!$A:$A,"&lt;="&amp;A1112,Transactions!$B:$B,Settings!$B$1)+SUMIFS(Transactions!$F:$F,Transactions!$A:$A,"&lt;="&amp;A1112,Transactions!$B:$B,Settings!$B$1))</f>
        <v/>
      </c>
      <c r="F1112" s="14" t="str">
        <f aca="false">IF(A1112="","",IF(C1112="","",D1112*B1112*C1112))</f>
        <v/>
      </c>
      <c r="G1112" s="14" t="str">
        <f aca="false">IF(F1112="","",F1112-E1112)</f>
        <v/>
      </c>
      <c r="H1112" s="14" t="str">
        <f aca="false">IF(F1112="","",IFERROR(F1112-F1111-(E1112-E1111),0))</f>
        <v/>
      </c>
    </row>
    <row r="1113" customFormat="false" ht="15" hidden="false" customHeight="false" outlineLevel="0" collapsed="false">
      <c r="A1113" s="13" t="str">
        <f aca="false">IF(Prices!A1113="","",Prices!A1113)</f>
        <v/>
      </c>
      <c r="B1113" s="14" t="str">
        <f aca="false">IF(A1113="","",Prices!C1113)</f>
        <v/>
      </c>
      <c r="C1113" s="15" t="str">
        <f aca="false">IF(A1113="","",IFERROR(INDEX(FX!$B:$B,MATCH(A1113,FX!$A:$A,1)),""))</f>
        <v/>
      </c>
      <c r="D1113" s="14" t="str">
        <f aca="false">IF(A1113="","",SUMIFS(Transactions!$D:$D,Transactions!$A:$A,"&lt;="&amp;A1113,Transactions!$B:$B,Settings!$B$1))</f>
        <v/>
      </c>
      <c r="E1113" s="14" t="str">
        <f aca="false">IF(A1113="","",SUMIFS(Transactions!$C:$C,Transactions!$A:$A,"&lt;="&amp;A1113,Transactions!$B:$B,Settings!$B$1)+SUMIFS(Transactions!$F:$F,Transactions!$A:$A,"&lt;="&amp;A1113,Transactions!$B:$B,Settings!$B$1))</f>
        <v/>
      </c>
      <c r="F1113" s="14" t="str">
        <f aca="false">IF(A1113="","",IF(C1113="","",D1113*B1113*C1113))</f>
        <v/>
      </c>
      <c r="G1113" s="14" t="str">
        <f aca="false">IF(F1113="","",F1113-E1113)</f>
        <v/>
      </c>
      <c r="H1113" s="14" t="str">
        <f aca="false">IF(F1113="","",IFERROR(F1113-F1112-(E1113-E1112),0))</f>
        <v/>
      </c>
    </row>
    <row r="1114" customFormat="false" ht="15" hidden="false" customHeight="false" outlineLevel="0" collapsed="false">
      <c r="A1114" s="13" t="str">
        <f aca="false">IF(Prices!A1114="","",Prices!A1114)</f>
        <v/>
      </c>
      <c r="B1114" s="14" t="str">
        <f aca="false">IF(A1114="","",Prices!C1114)</f>
        <v/>
      </c>
      <c r="C1114" s="15" t="str">
        <f aca="false">IF(A1114="","",IFERROR(INDEX(FX!$B:$B,MATCH(A1114,FX!$A:$A,1)),""))</f>
        <v/>
      </c>
      <c r="D1114" s="14" t="str">
        <f aca="false">IF(A1114="","",SUMIFS(Transactions!$D:$D,Transactions!$A:$A,"&lt;="&amp;A1114,Transactions!$B:$B,Settings!$B$1))</f>
        <v/>
      </c>
      <c r="E1114" s="14" t="str">
        <f aca="false">IF(A1114="","",SUMIFS(Transactions!$C:$C,Transactions!$A:$A,"&lt;="&amp;A1114,Transactions!$B:$B,Settings!$B$1)+SUMIFS(Transactions!$F:$F,Transactions!$A:$A,"&lt;="&amp;A1114,Transactions!$B:$B,Settings!$B$1))</f>
        <v/>
      </c>
      <c r="F1114" s="14" t="str">
        <f aca="false">IF(A1114="","",IF(C1114="","",D1114*B1114*C1114))</f>
        <v/>
      </c>
      <c r="G1114" s="14" t="str">
        <f aca="false">IF(F1114="","",F1114-E1114)</f>
        <v/>
      </c>
      <c r="H1114" s="14" t="str">
        <f aca="false">IF(F1114="","",IFERROR(F1114-F1113-(E1114-E1113),0))</f>
        <v/>
      </c>
    </row>
    <row r="1115" customFormat="false" ht="15" hidden="false" customHeight="false" outlineLevel="0" collapsed="false">
      <c r="A1115" s="13" t="str">
        <f aca="false">IF(Prices!A1115="","",Prices!A1115)</f>
        <v/>
      </c>
      <c r="B1115" s="14" t="str">
        <f aca="false">IF(A1115="","",Prices!C1115)</f>
        <v/>
      </c>
      <c r="C1115" s="15" t="str">
        <f aca="false">IF(A1115="","",IFERROR(INDEX(FX!$B:$B,MATCH(A1115,FX!$A:$A,1)),""))</f>
        <v/>
      </c>
      <c r="D1115" s="14" t="str">
        <f aca="false">IF(A1115="","",SUMIFS(Transactions!$D:$D,Transactions!$A:$A,"&lt;="&amp;A1115,Transactions!$B:$B,Settings!$B$1))</f>
        <v/>
      </c>
      <c r="E1115" s="14" t="str">
        <f aca="false">IF(A1115="","",SUMIFS(Transactions!$C:$C,Transactions!$A:$A,"&lt;="&amp;A1115,Transactions!$B:$B,Settings!$B$1)+SUMIFS(Transactions!$F:$F,Transactions!$A:$A,"&lt;="&amp;A1115,Transactions!$B:$B,Settings!$B$1))</f>
        <v/>
      </c>
      <c r="F1115" s="14" t="str">
        <f aca="false">IF(A1115="","",IF(C1115="","",D1115*B1115*C1115))</f>
        <v/>
      </c>
      <c r="G1115" s="14" t="str">
        <f aca="false">IF(F1115="","",F1115-E1115)</f>
        <v/>
      </c>
      <c r="H1115" s="14" t="str">
        <f aca="false">IF(F1115="","",IFERROR(F1115-F1114-(E1115-E1114),0))</f>
        <v/>
      </c>
    </row>
    <row r="1116" customFormat="false" ht="15" hidden="false" customHeight="false" outlineLevel="0" collapsed="false">
      <c r="A1116" s="13" t="str">
        <f aca="false">IF(Prices!A1116="","",Prices!A1116)</f>
        <v/>
      </c>
      <c r="B1116" s="14" t="str">
        <f aca="false">IF(A1116="","",Prices!C1116)</f>
        <v/>
      </c>
      <c r="C1116" s="15" t="str">
        <f aca="false">IF(A1116="","",IFERROR(INDEX(FX!$B:$B,MATCH(A1116,FX!$A:$A,1)),""))</f>
        <v/>
      </c>
      <c r="D1116" s="14" t="str">
        <f aca="false">IF(A1116="","",SUMIFS(Transactions!$D:$D,Transactions!$A:$A,"&lt;="&amp;A1116,Transactions!$B:$B,Settings!$B$1))</f>
        <v/>
      </c>
      <c r="E1116" s="14" t="str">
        <f aca="false">IF(A1116="","",SUMIFS(Transactions!$C:$C,Transactions!$A:$A,"&lt;="&amp;A1116,Transactions!$B:$B,Settings!$B$1)+SUMIFS(Transactions!$F:$F,Transactions!$A:$A,"&lt;="&amp;A1116,Transactions!$B:$B,Settings!$B$1))</f>
        <v/>
      </c>
      <c r="F1116" s="14" t="str">
        <f aca="false">IF(A1116="","",IF(C1116="","",D1116*B1116*C1116))</f>
        <v/>
      </c>
      <c r="G1116" s="14" t="str">
        <f aca="false">IF(F1116="","",F1116-E1116)</f>
        <v/>
      </c>
      <c r="H1116" s="14" t="str">
        <f aca="false">IF(F1116="","",IFERROR(F1116-F1115-(E1116-E1115),0))</f>
        <v/>
      </c>
    </row>
    <row r="1117" customFormat="false" ht="15" hidden="false" customHeight="false" outlineLevel="0" collapsed="false">
      <c r="A1117" s="13" t="str">
        <f aca="false">IF(Prices!A1117="","",Prices!A1117)</f>
        <v/>
      </c>
      <c r="B1117" s="14" t="str">
        <f aca="false">IF(A1117="","",Prices!C1117)</f>
        <v/>
      </c>
      <c r="C1117" s="15" t="str">
        <f aca="false">IF(A1117="","",IFERROR(INDEX(FX!$B:$B,MATCH(A1117,FX!$A:$A,1)),""))</f>
        <v/>
      </c>
      <c r="D1117" s="14" t="str">
        <f aca="false">IF(A1117="","",SUMIFS(Transactions!$D:$D,Transactions!$A:$A,"&lt;="&amp;A1117,Transactions!$B:$B,Settings!$B$1))</f>
        <v/>
      </c>
      <c r="E1117" s="14" t="str">
        <f aca="false">IF(A1117="","",SUMIFS(Transactions!$C:$C,Transactions!$A:$A,"&lt;="&amp;A1117,Transactions!$B:$B,Settings!$B$1)+SUMIFS(Transactions!$F:$F,Transactions!$A:$A,"&lt;="&amp;A1117,Transactions!$B:$B,Settings!$B$1))</f>
        <v/>
      </c>
      <c r="F1117" s="14" t="str">
        <f aca="false">IF(A1117="","",IF(C1117="","",D1117*B1117*C1117))</f>
        <v/>
      </c>
      <c r="G1117" s="14" t="str">
        <f aca="false">IF(F1117="","",F1117-E1117)</f>
        <v/>
      </c>
      <c r="H1117" s="14" t="str">
        <f aca="false">IF(F1117="","",IFERROR(F1117-F1116-(E1117-E1116),0))</f>
        <v/>
      </c>
    </row>
    <row r="1118" customFormat="false" ht="15" hidden="false" customHeight="false" outlineLevel="0" collapsed="false">
      <c r="A1118" s="13" t="str">
        <f aca="false">IF(Prices!A1118="","",Prices!A1118)</f>
        <v/>
      </c>
      <c r="B1118" s="14" t="str">
        <f aca="false">IF(A1118="","",Prices!C1118)</f>
        <v/>
      </c>
      <c r="C1118" s="15" t="str">
        <f aca="false">IF(A1118="","",IFERROR(INDEX(FX!$B:$B,MATCH(A1118,FX!$A:$A,1)),""))</f>
        <v/>
      </c>
      <c r="D1118" s="14" t="str">
        <f aca="false">IF(A1118="","",SUMIFS(Transactions!$D:$D,Transactions!$A:$A,"&lt;="&amp;A1118,Transactions!$B:$B,Settings!$B$1))</f>
        <v/>
      </c>
      <c r="E1118" s="14" t="str">
        <f aca="false">IF(A1118="","",SUMIFS(Transactions!$C:$C,Transactions!$A:$A,"&lt;="&amp;A1118,Transactions!$B:$B,Settings!$B$1)+SUMIFS(Transactions!$F:$F,Transactions!$A:$A,"&lt;="&amp;A1118,Transactions!$B:$B,Settings!$B$1))</f>
        <v/>
      </c>
      <c r="F1118" s="14" t="str">
        <f aca="false">IF(A1118="","",IF(C1118="","",D1118*B1118*C1118))</f>
        <v/>
      </c>
      <c r="G1118" s="14" t="str">
        <f aca="false">IF(F1118="","",F1118-E1118)</f>
        <v/>
      </c>
      <c r="H1118" s="14" t="str">
        <f aca="false">IF(F1118="","",IFERROR(F1118-F1117-(E1118-E1117),0))</f>
        <v/>
      </c>
    </row>
    <row r="1119" customFormat="false" ht="15" hidden="false" customHeight="false" outlineLevel="0" collapsed="false">
      <c r="A1119" s="13" t="str">
        <f aca="false">IF(Prices!A1119="","",Prices!A1119)</f>
        <v/>
      </c>
      <c r="B1119" s="14" t="str">
        <f aca="false">IF(A1119="","",Prices!C1119)</f>
        <v/>
      </c>
      <c r="C1119" s="15" t="str">
        <f aca="false">IF(A1119="","",IFERROR(INDEX(FX!$B:$B,MATCH(A1119,FX!$A:$A,1)),""))</f>
        <v/>
      </c>
      <c r="D1119" s="14" t="str">
        <f aca="false">IF(A1119="","",SUMIFS(Transactions!$D:$D,Transactions!$A:$A,"&lt;="&amp;A1119,Transactions!$B:$B,Settings!$B$1))</f>
        <v/>
      </c>
      <c r="E1119" s="14" t="str">
        <f aca="false">IF(A1119="","",SUMIFS(Transactions!$C:$C,Transactions!$A:$A,"&lt;="&amp;A1119,Transactions!$B:$B,Settings!$B$1)+SUMIFS(Transactions!$F:$F,Transactions!$A:$A,"&lt;="&amp;A1119,Transactions!$B:$B,Settings!$B$1))</f>
        <v/>
      </c>
      <c r="F1119" s="14" t="str">
        <f aca="false">IF(A1119="","",IF(C1119="","",D1119*B1119*C1119))</f>
        <v/>
      </c>
      <c r="G1119" s="14" t="str">
        <f aca="false">IF(F1119="","",F1119-E1119)</f>
        <v/>
      </c>
      <c r="H1119" s="14" t="str">
        <f aca="false">IF(F1119="","",IFERROR(F1119-F1118-(E1119-E1118),0))</f>
        <v/>
      </c>
    </row>
    <row r="1120" customFormat="false" ht="15" hidden="false" customHeight="false" outlineLevel="0" collapsed="false">
      <c r="A1120" s="13" t="str">
        <f aca="false">IF(Prices!A1120="","",Prices!A1120)</f>
        <v/>
      </c>
      <c r="B1120" s="14" t="str">
        <f aca="false">IF(A1120="","",Prices!C1120)</f>
        <v/>
      </c>
      <c r="C1120" s="15" t="str">
        <f aca="false">IF(A1120="","",IFERROR(INDEX(FX!$B:$B,MATCH(A1120,FX!$A:$A,1)),""))</f>
        <v/>
      </c>
      <c r="D1120" s="14" t="str">
        <f aca="false">IF(A1120="","",SUMIFS(Transactions!$D:$D,Transactions!$A:$A,"&lt;="&amp;A1120,Transactions!$B:$B,Settings!$B$1))</f>
        <v/>
      </c>
      <c r="E1120" s="14" t="str">
        <f aca="false">IF(A1120="","",SUMIFS(Transactions!$C:$C,Transactions!$A:$A,"&lt;="&amp;A1120,Transactions!$B:$B,Settings!$B$1)+SUMIFS(Transactions!$F:$F,Transactions!$A:$A,"&lt;="&amp;A1120,Transactions!$B:$B,Settings!$B$1))</f>
        <v/>
      </c>
      <c r="F1120" s="14" t="str">
        <f aca="false">IF(A1120="","",IF(C1120="","",D1120*B1120*C1120))</f>
        <v/>
      </c>
      <c r="G1120" s="14" t="str">
        <f aca="false">IF(F1120="","",F1120-E1120)</f>
        <v/>
      </c>
      <c r="H1120" s="14" t="str">
        <f aca="false">IF(F1120="","",IFERROR(F1120-F1119-(E1120-E1119),0))</f>
        <v/>
      </c>
    </row>
    <row r="1121" customFormat="false" ht="15" hidden="false" customHeight="false" outlineLevel="0" collapsed="false">
      <c r="A1121" s="13" t="str">
        <f aca="false">IF(Prices!A1121="","",Prices!A1121)</f>
        <v/>
      </c>
      <c r="B1121" s="14" t="str">
        <f aca="false">IF(A1121="","",Prices!C1121)</f>
        <v/>
      </c>
      <c r="C1121" s="15" t="str">
        <f aca="false">IF(A1121="","",IFERROR(INDEX(FX!$B:$B,MATCH(A1121,FX!$A:$A,1)),""))</f>
        <v/>
      </c>
      <c r="D1121" s="14" t="str">
        <f aca="false">IF(A1121="","",SUMIFS(Transactions!$D:$D,Transactions!$A:$A,"&lt;="&amp;A1121,Transactions!$B:$B,Settings!$B$1))</f>
        <v/>
      </c>
      <c r="E1121" s="14" t="str">
        <f aca="false">IF(A1121="","",SUMIFS(Transactions!$C:$C,Transactions!$A:$A,"&lt;="&amp;A1121,Transactions!$B:$B,Settings!$B$1)+SUMIFS(Transactions!$F:$F,Transactions!$A:$A,"&lt;="&amp;A1121,Transactions!$B:$B,Settings!$B$1))</f>
        <v/>
      </c>
      <c r="F1121" s="14" t="str">
        <f aca="false">IF(A1121="","",IF(C1121="","",D1121*B1121*C1121))</f>
        <v/>
      </c>
      <c r="G1121" s="14" t="str">
        <f aca="false">IF(F1121="","",F1121-E1121)</f>
        <v/>
      </c>
      <c r="H1121" s="14" t="str">
        <f aca="false">IF(F1121="","",IFERROR(F1121-F1120-(E1121-E1120),0))</f>
        <v/>
      </c>
    </row>
    <row r="1122" customFormat="false" ht="15" hidden="false" customHeight="false" outlineLevel="0" collapsed="false">
      <c r="A1122" s="13" t="str">
        <f aca="false">IF(Prices!A1122="","",Prices!A1122)</f>
        <v/>
      </c>
      <c r="B1122" s="14" t="str">
        <f aca="false">IF(A1122="","",Prices!C1122)</f>
        <v/>
      </c>
      <c r="C1122" s="15" t="str">
        <f aca="false">IF(A1122="","",IFERROR(INDEX(FX!$B:$B,MATCH(A1122,FX!$A:$A,1)),""))</f>
        <v/>
      </c>
      <c r="D1122" s="14" t="str">
        <f aca="false">IF(A1122="","",SUMIFS(Transactions!$D:$D,Transactions!$A:$A,"&lt;="&amp;A1122,Transactions!$B:$B,Settings!$B$1))</f>
        <v/>
      </c>
      <c r="E1122" s="14" t="str">
        <f aca="false">IF(A1122="","",SUMIFS(Transactions!$C:$C,Transactions!$A:$A,"&lt;="&amp;A1122,Transactions!$B:$B,Settings!$B$1)+SUMIFS(Transactions!$F:$F,Transactions!$A:$A,"&lt;="&amp;A1122,Transactions!$B:$B,Settings!$B$1))</f>
        <v/>
      </c>
      <c r="F1122" s="14" t="str">
        <f aca="false">IF(A1122="","",IF(C1122="","",D1122*B1122*C1122))</f>
        <v/>
      </c>
      <c r="G1122" s="14" t="str">
        <f aca="false">IF(F1122="","",F1122-E1122)</f>
        <v/>
      </c>
      <c r="H1122" s="14" t="str">
        <f aca="false">IF(F1122="","",IFERROR(F1122-F1121-(E1122-E1121),0))</f>
        <v/>
      </c>
    </row>
    <row r="1123" customFormat="false" ht="15" hidden="false" customHeight="false" outlineLevel="0" collapsed="false">
      <c r="A1123" s="13" t="str">
        <f aca="false">IF(Prices!A1123="","",Prices!A1123)</f>
        <v/>
      </c>
      <c r="B1123" s="14" t="str">
        <f aca="false">IF(A1123="","",Prices!C1123)</f>
        <v/>
      </c>
      <c r="C1123" s="15" t="str">
        <f aca="false">IF(A1123="","",IFERROR(INDEX(FX!$B:$B,MATCH(A1123,FX!$A:$A,1)),""))</f>
        <v/>
      </c>
      <c r="D1123" s="14" t="str">
        <f aca="false">IF(A1123="","",SUMIFS(Transactions!$D:$D,Transactions!$A:$A,"&lt;="&amp;A1123,Transactions!$B:$B,Settings!$B$1))</f>
        <v/>
      </c>
      <c r="E1123" s="14" t="str">
        <f aca="false">IF(A1123="","",SUMIFS(Transactions!$C:$C,Transactions!$A:$A,"&lt;="&amp;A1123,Transactions!$B:$B,Settings!$B$1)+SUMIFS(Transactions!$F:$F,Transactions!$A:$A,"&lt;="&amp;A1123,Transactions!$B:$B,Settings!$B$1))</f>
        <v/>
      </c>
      <c r="F1123" s="14" t="str">
        <f aca="false">IF(A1123="","",IF(C1123="","",D1123*B1123*C1123))</f>
        <v/>
      </c>
      <c r="G1123" s="14" t="str">
        <f aca="false">IF(F1123="","",F1123-E1123)</f>
        <v/>
      </c>
      <c r="H1123" s="14" t="str">
        <f aca="false">IF(F1123="","",IFERROR(F1123-F1122-(E1123-E1122),0))</f>
        <v/>
      </c>
    </row>
    <row r="1124" customFormat="false" ht="15" hidden="false" customHeight="false" outlineLevel="0" collapsed="false">
      <c r="A1124" s="13" t="str">
        <f aca="false">IF(Prices!A1124="","",Prices!A1124)</f>
        <v/>
      </c>
      <c r="B1124" s="14" t="str">
        <f aca="false">IF(A1124="","",Prices!C1124)</f>
        <v/>
      </c>
      <c r="C1124" s="15" t="str">
        <f aca="false">IF(A1124="","",IFERROR(INDEX(FX!$B:$B,MATCH(A1124,FX!$A:$A,1)),""))</f>
        <v/>
      </c>
      <c r="D1124" s="14" t="str">
        <f aca="false">IF(A1124="","",SUMIFS(Transactions!$D:$D,Transactions!$A:$A,"&lt;="&amp;A1124,Transactions!$B:$B,Settings!$B$1))</f>
        <v/>
      </c>
      <c r="E1124" s="14" t="str">
        <f aca="false">IF(A1124="","",SUMIFS(Transactions!$C:$C,Transactions!$A:$A,"&lt;="&amp;A1124,Transactions!$B:$B,Settings!$B$1)+SUMIFS(Transactions!$F:$F,Transactions!$A:$A,"&lt;="&amp;A1124,Transactions!$B:$B,Settings!$B$1))</f>
        <v/>
      </c>
      <c r="F1124" s="14" t="str">
        <f aca="false">IF(A1124="","",IF(C1124="","",D1124*B1124*C1124))</f>
        <v/>
      </c>
      <c r="G1124" s="14" t="str">
        <f aca="false">IF(F1124="","",F1124-E1124)</f>
        <v/>
      </c>
      <c r="H1124" s="14" t="str">
        <f aca="false">IF(F1124="","",IFERROR(F1124-F1123-(E1124-E1123),0))</f>
        <v/>
      </c>
    </row>
    <row r="1125" customFormat="false" ht="15" hidden="false" customHeight="false" outlineLevel="0" collapsed="false">
      <c r="A1125" s="13" t="str">
        <f aca="false">IF(Prices!A1125="","",Prices!A1125)</f>
        <v/>
      </c>
      <c r="B1125" s="14" t="str">
        <f aca="false">IF(A1125="","",Prices!C1125)</f>
        <v/>
      </c>
      <c r="C1125" s="15" t="str">
        <f aca="false">IF(A1125="","",IFERROR(INDEX(FX!$B:$B,MATCH(A1125,FX!$A:$A,1)),""))</f>
        <v/>
      </c>
      <c r="D1125" s="14" t="str">
        <f aca="false">IF(A1125="","",SUMIFS(Transactions!$D:$D,Transactions!$A:$A,"&lt;="&amp;A1125,Transactions!$B:$B,Settings!$B$1))</f>
        <v/>
      </c>
      <c r="E1125" s="14" t="str">
        <f aca="false">IF(A1125="","",SUMIFS(Transactions!$C:$C,Transactions!$A:$A,"&lt;="&amp;A1125,Transactions!$B:$B,Settings!$B$1)+SUMIFS(Transactions!$F:$F,Transactions!$A:$A,"&lt;="&amp;A1125,Transactions!$B:$B,Settings!$B$1))</f>
        <v/>
      </c>
      <c r="F1125" s="14" t="str">
        <f aca="false">IF(A1125="","",IF(C1125="","",D1125*B1125*C1125))</f>
        <v/>
      </c>
      <c r="G1125" s="14" t="str">
        <f aca="false">IF(F1125="","",F1125-E1125)</f>
        <v/>
      </c>
      <c r="H1125" s="14" t="str">
        <f aca="false">IF(F1125="","",IFERROR(F1125-F1124-(E1125-E1124),0))</f>
        <v/>
      </c>
    </row>
    <row r="1126" customFormat="false" ht="15" hidden="false" customHeight="false" outlineLevel="0" collapsed="false">
      <c r="A1126" s="13" t="str">
        <f aca="false">IF(Prices!A1126="","",Prices!A1126)</f>
        <v/>
      </c>
      <c r="B1126" s="14" t="str">
        <f aca="false">IF(A1126="","",Prices!C1126)</f>
        <v/>
      </c>
      <c r="C1126" s="15" t="str">
        <f aca="false">IF(A1126="","",IFERROR(INDEX(FX!$B:$B,MATCH(A1126,FX!$A:$A,1)),""))</f>
        <v/>
      </c>
      <c r="D1126" s="14" t="str">
        <f aca="false">IF(A1126="","",SUMIFS(Transactions!$D:$D,Transactions!$A:$A,"&lt;="&amp;A1126,Transactions!$B:$B,Settings!$B$1))</f>
        <v/>
      </c>
      <c r="E1126" s="14" t="str">
        <f aca="false">IF(A1126="","",SUMIFS(Transactions!$C:$C,Transactions!$A:$A,"&lt;="&amp;A1126,Transactions!$B:$B,Settings!$B$1)+SUMIFS(Transactions!$F:$F,Transactions!$A:$A,"&lt;="&amp;A1126,Transactions!$B:$B,Settings!$B$1))</f>
        <v/>
      </c>
      <c r="F1126" s="14" t="str">
        <f aca="false">IF(A1126="","",IF(C1126="","",D1126*B1126*C1126))</f>
        <v/>
      </c>
      <c r="G1126" s="14" t="str">
        <f aca="false">IF(F1126="","",F1126-E1126)</f>
        <v/>
      </c>
      <c r="H1126" s="14" t="str">
        <f aca="false">IF(F1126="","",IFERROR(F1126-F1125-(E1126-E1125),0))</f>
        <v/>
      </c>
    </row>
    <row r="1127" customFormat="false" ht="15" hidden="false" customHeight="false" outlineLevel="0" collapsed="false">
      <c r="A1127" s="13" t="str">
        <f aca="false">IF(Prices!A1127="","",Prices!A1127)</f>
        <v/>
      </c>
      <c r="B1127" s="14" t="str">
        <f aca="false">IF(A1127="","",Prices!C1127)</f>
        <v/>
      </c>
      <c r="C1127" s="15" t="str">
        <f aca="false">IF(A1127="","",IFERROR(INDEX(FX!$B:$B,MATCH(A1127,FX!$A:$A,1)),""))</f>
        <v/>
      </c>
      <c r="D1127" s="14" t="str">
        <f aca="false">IF(A1127="","",SUMIFS(Transactions!$D:$D,Transactions!$A:$A,"&lt;="&amp;A1127,Transactions!$B:$B,Settings!$B$1))</f>
        <v/>
      </c>
      <c r="E1127" s="14" t="str">
        <f aca="false">IF(A1127="","",SUMIFS(Transactions!$C:$C,Transactions!$A:$A,"&lt;="&amp;A1127,Transactions!$B:$B,Settings!$B$1)+SUMIFS(Transactions!$F:$F,Transactions!$A:$A,"&lt;="&amp;A1127,Transactions!$B:$B,Settings!$B$1))</f>
        <v/>
      </c>
      <c r="F1127" s="14" t="str">
        <f aca="false">IF(A1127="","",IF(C1127="","",D1127*B1127*C1127))</f>
        <v/>
      </c>
      <c r="G1127" s="14" t="str">
        <f aca="false">IF(F1127="","",F1127-E1127)</f>
        <v/>
      </c>
      <c r="H1127" s="14" t="str">
        <f aca="false">IF(F1127="","",IFERROR(F1127-F1126-(E1127-E1126),0))</f>
        <v/>
      </c>
    </row>
    <row r="1128" customFormat="false" ht="15" hidden="false" customHeight="false" outlineLevel="0" collapsed="false">
      <c r="A1128" s="13" t="str">
        <f aca="false">IF(Prices!A1128="","",Prices!A1128)</f>
        <v/>
      </c>
      <c r="B1128" s="14" t="str">
        <f aca="false">IF(A1128="","",Prices!C1128)</f>
        <v/>
      </c>
      <c r="C1128" s="15" t="str">
        <f aca="false">IF(A1128="","",IFERROR(INDEX(FX!$B:$B,MATCH(A1128,FX!$A:$A,1)),""))</f>
        <v/>
      </c>
      <c r="D1128" s="14" t="str">
        <f aca="false">IF(A1128="","",SUMIFS(Transactions!$D:$D,Transactions!$A:$A,"&lt;="&amp;A1128,Transactions!$B:$B,Settings!$B$1))</f>
        <v/>
      </c>
      <c r="E1128" s="14" t="str">
        <f aca="false">IF(A1128="","",SUMIFS(Transactions!$C:$C,Transactions!$A:$A,"&lt;="&amp;A1128,Transactions!$B:$B,Settings!$B$1)+SUMIFS(Transactions!$F:$F,Transactions!$A:$A,"&lt;="&amp;A1128,Transactions!$B:$B,Settings!$B$1))</f>
        <v/>
      </c>
      <c r="F1128" s="14" t="str">
        <f aca="false">IF(A1128="","",IF(C1128="","",D1128*B1128*C1128))</f>
        <v/>
      </c>
      <c r="G1128" s="14" t="str">
        <f aca="false">IF(F1128="","",F1128-E1128)</f>
        <v/>
      </c>
      <c r="H1128" s="14" t="str">
        <f aca="false">IF(F1128="","",IFERROR(F1128-F1127-(E1128-E1127),0))</f>
        <v/>
      </c>
    </row>
    <row r="1129" customFormat="false" ht="15" hidden="false" customHeight="false" outlineLevel="0" collapsed="false">
      <c r="A1129" s="13" t="str">
        <f aca="false">IF(Prices!A1129="","",Prices!A1129)</f>
        <v/>
      </c>
      <c r="B1129" s="14" t="str">
        <f aca="false">IF(A1129="","",Prices!C1129)</f>
        <v/>
      </c>
      <c r="C1129" s="15" t="str">
        <f aca="false">IF(A1129="","",IFERROR(INDEX(FX!$B:$B,MATCH(A1129,FX!$A:$A,1)),""))</f>
        <v/>
      </c>
      <c r="D1129" s="14" t="str">
        <f aca="false">IF(A1129="","",SUMIFS(Transactions!$D:$D,Transactions!$A:$A,"&lt;="&amp;A1129,Transactions!$B:$B,Settings!$B$1))</f>
        <v/>
      </c>
      <c r="E1129" s="14" t="str">
        <f aca="false">IF(A1129="","",SUMIFS(Transactions!$C:$C,Transactions!$A:$A,"&lt;="&amp;A1129,Transactions!$B:$B,Settings!$B$1)+SUMIFS(Transactions!$F:$F,Transactions!$A:$A,"&lt;="&amp;A1129,Transactions!$B:$B,Settings!$B$1))</f>
        <v/>
      </c>
      <c r="F1129" s="14" t="str">
        <f aca="false">IF(A1129="","",IF(C1129="","",D1129*B1129*C1129))</f>
        <v/>
      </c>
      <c r="G1129" s="14" t="str">
        <f aca="false">IF(F1129="","",F1129-E1129)</f>
        <v/>
      </c>
      <c r="H1129" s="14" t="str">
        <f aca="false">IF(F1129="","",IFERROR(F1129-F1128-(E1129-E1128),0))</f>
        <v/>
      </c>
    </row>
    <row r="1130" customFormat="false" ht="15" hidden="false" customHeight="false" outlineLevel="0" collapsed="false">
      <c r="A1130" s="13" t="str">
        <f aca="false">IF(Prices!A1130="","",Prices!A1130)</f>
        <v/>
      </c>
      <c r="B1130" s="14" t="str">
        <f aca="false">IF(A1130="","",Prices!C1130)</f>
        <v/>
      </c>
      <c r="C1130" s="15" t="str">
        <f aca="false">IF(A1130="","",IFERROR(INDEX(FX!$B:$B,MATCH(A1130,FX!$A:$A,1)),""))</f>
        <v/>
      </c>
      <c r="D1130" s="14" t="str">
        <f aca="false">IF(A1130="","",SUMIFS(Transactions!$D:$D,Transactions!$A:$A,"&lt;="&amp;A1130,Transactions!$B:$B,Settings!$B$1))</f>
        <v/>
      </c>
      <c r="E1130" s="14" t="str">
        <f aca="false">IF(A1130="","",SUMIFS(Transactions!$C:$C,Transactions!$A:$A,"&lt;="&amp;A1130,Transactions!$B:$B,Settings!$B$1)+SUMIFS(Transactions!$F:$F,Transactions!$A:$A,"&lt;="&amp;A1130,Transactions!$B:$B,Settings!$B$1))</f>
        <v/>
      </c>
      <c r="F1130" s="14" t="str">
        <f aca="false">IF(A1130="","",IF(C1130="","",D1130*B1130*C1130))</f>
        <v/>
      </c>
      <c r="G1130" s="14" t="str">
        <f aca="false">IF(F1130="","",F1130-E1130)</f>
        <v/>
      </c>
      <c r="H1130" s="14" t="str">
        <f aca="false">IF(F1130="","",IFERROR(F1130-F1129-(E1130-E1129),0))</f>
        <v/>
      </c>
    </row>
    <row r="1131" customFormat="false" ht="15" hidden="false" customHeight="false" outlineLevel="0" collapsed="false">
      <c r="A1131" s="13" t="str">
        <f aca="false">IF(Prices!A1131="","",Prices!A1131)</f>
        <v/>
      </c>
      <c r="B1131" s="14" t="str">
        <f aca="false">IF(A1131="","",Prices!C1131)</f>
        <v/>
      </c>
      <c r="C1131" s="15" t="str">
        <f aca="false">IF(A1131="","",IFERROR(INDEX(FX!$B:$B,MATCH(A1131,FX!$A:$A,1)),""))</f>
        <v/>
      </c>
      <c r="D1131" s="14" t="str">
        <f aca="false">IF(A1131="","",SUMIFS(Transactions!$D:$D,Transactions!$A:$A,"&lt;="&amp;A1131,Transactions!$B:$B,Settings!$B$1))</f>
        <v/>
      </c>
      <c r="E1131" s="14" t="str">
        <f aca="false">IF(A1131="","",SUMIFS(Transactions!$C:$C,Transactions!$A:$A,"&lt;="&amp;A1131,Transactions!$B:$B,Settings!$B$1)+SUMIFS(Transactions!$F:$F,Transactions!$A:$A,"&lt;="&amp;A1131,Transactions!$B:$B,Settings!$B$1))</f>
        <v/>
      </c>
      <c r="F1131" s="14" t="str">
        <f aca="false">IF(A1131="","",IF(C1131="","",D1131*B1131*C1131))</f>
        <v/>
      </c>
      <c r="G1131" s="14" t="str">
        <f aca="false">IF(F1131="","",F1131-E1131)</f>
        <v/>
      </c>
      <c r="H1131" s="14" t="str">
        <f aca="false">IF(F1131="","",IFERROR(F1131-F1130-(E1131-E1130),0))</f>
        <v/>
      </c>
    </row>
    <row r="1132" customFormat="false" ht="15" hidden="false" customHeight="false" outlineLevel="0" collapsed="false">
      <c r="A1132" s="13" t="str">
        <f aca="false">IF(Prices!A1132="","",Prices!A1132)</f>
        <v/>
      </c>
      <c r="B1132" s="14" t="str">
        <f aca="false">IF(A1132="","",Prices!C1132)</f>
        <v/>
      </c>
      <c r="C1132" s="15" t="str">
        <f aca="false">IF(A1132="","",IFERROR(INDEX(FX!$B:$B,MATCH(A1132,FX!$A:$A,1)),""))</f>
        <v/>
      </c>
      <c r="D1132" s="14" t="str">
        <f aca="false">IF(A1132="","",SUMIFS(Transactions!$D:$D,Transactions!$A:$A,"&lt;="&amp;A1132,Transactions!$B:$B,Settings!$B$1))</f>
        <v/>
      </c>
      <c r="E1132" s="14" t="str">
        <f aca="false">IF(A1132="","",SUMIFS(Transactions!$C:$C,Transactions!$A:$A,"&lt;="&amp;A1132,Transactions!$B:$B,Settings!$B$1)+SUMIFS(Transactions!$F:$F,Transactions!$A:$A,"&lt;="&amp;A1132,Transactions!$B:$B,Settings!$B$1))</f>
        <v/>
      </c>
      <c r="F1132" s="14" t="str">
        <f aca="false">IF(A1132="","",IF(C1132="","",D1132*B1132*C1132))</f>
        <v/>
      </c>
      <c r="G1132" s="14" t="str">
        <f aca="false">IF(F1132="","",F1132-E1132)</f>
        <v/>
      </c>
      <c r="H1132" s="14" t="str">
        <f aca="false">IF(F1132="","",IFERROR(F1132-F1131-(E1132-E1131),0))</f>
        <v/>
      </c>
    </row>
    <row r="1133" customFormat="false" ht="15" hidden="false" customHeight="false" outlineLevel="0" collapsed="false">
      <c r="A1133" s="13" t="str">
        <f aca="false">IF(Prices!A1133="","",Prices!A1133)</f>
        <v/>
      </c>
      <c r="B1133" s="14" t="str">
        <f aca="false">IF(A1133="","",Prices!C1133)</f>
        <v/>
      </c>
      <c r="C1133" s="15" t="str">
        <f aca="false">IF(A1133="","",IFERROR(INDEX(FX!$B:$B,MATCH(A1133,FX!$A:$A,1)),""))</f>
        <v/>
      </c>
      <c r="D1133" s="14" t="str">
        <f aca="false">IF(A1133="","",SUMIFS(Transactions!$D:$D,Transactions!$A:$A,"&lt;="&amp;A1133,Transactions!$B:$B,Settings!$B$1))</f>
        <v/>
      </c>
      <c r="E1133" s="14" t="str">
        <f aca="false">IF(A1133="","",SUMIFS(Transactions!$C:$C,Transactions!$A:$A,"&lt;="&amp;A1133,Transactions!$B:$B,Settings!$B$1)+SUMIFS(Transactions!$F:$F,Transactions!$A:$A,"&lt;="&amp;A1133,Transactions!$B:$B,Settings!$B$1))</f>
        <v/>
      </c>
      <c r="F1133" s="14" t="str">
        <f aca="false">IF(A1133="","",IF(C1133="","",D1133*B1133*C1133))</f>
        <v/>
      </c>
      <c r="G1133" s="14" t="str">
        <f aca="false">IF(F1133="","",F1133-E1133)</f>
        <v/>
      </c>
      <c r="H1133" s="14" t="str">
        <f aca="false">IF(F1133="","",IFERROR(F1133-F1132-(E1133-E1132),0))</f>
        <v/>
      </c>
    </row>
    <row r="1134" customFormat="false" ht="15" hidden="false" customHeight="false" outlineLevel="0" collapsed="false">
      <c r="A1134" s="13" t="str">
        <f aca="false">IF(Prices!A1134="","",Prices!A1134)</f>
        <v/>
      </c>
      <c r="B1134" s="14" t="str">
        <f aca="false">IF(A1134="","",Prices!C1134)</f>
        <v/>
      </c>
      <c r="C1134" s="15" t="str">
        <f aca="false">IF(A1134="","",IFERROR(INDEX(FX!$B:$B,MATCH(A1134,FX!$A:$A,1)),""))</f>
        <v/>
      </c>
      <c r="D1134" s="14" t="str">
        <f aca="false">IF(A1134="","",SUMIFS(Transactions!$D:$D,Transactions!$A:$A,"&lt;="&amp;A1134,Transactions!$B:$B,Settings!$B$1))</f>
        <v/>
      </c>
      <c r="E1134" s="14" t="str">
        <f aca="false">IF(A1134="","",SUMIFS(Transactions!$C:$C,Transactions!$A:$A,"&lt;="&amp;A1134,Transactions!$B:$B,Settings!$B$1)+SUMIFS(Transactions!$F:$F,Transactions!$A:$A,"&lt;="&amp;A1134,Transactions!$B:$B,Settings!$B$1))</f>
        <v/>
      </c>
      <c r="F1134" s="14" t="str">
        <f aca="false">IF(A1134="","",IF(C1134="","",D1134*B1134*C1134))</f>
        <v/>
      </c>
      <c r="G1134" s="14" t="str">
        <f aca="false">IF(F1134="","",F1134-E1134)</f>
        <v/>
      </c>
      <c r="H1134" s="14" t="str">
        <f aca="false">IF(F1134="","",IFERROR(F1134-F1133-(E1134-E1133),0))</f>
        <v/>
      </c>
    </row>
    <row r="1135" customFormat="false" ht="15" hidden="false" customHeight="false" outlineLevel="0" collapsed="false">
      <c r="A1135" s="13" t="str">
        <f aca="false">IF(Prices!A1135="","",Prices!A1135)</f>
        <v/>
      </c>
      <c r="B1135" s="14" t="str">
        <f aca="false">IF(A1135="","",Prices!C1135)</f>
        <v/>
      </c>
      <c r="C1135" s="15" t="str">
        <f aca="false">IF(A1135="","",IFERROR(INDEX(FX!$B:$B,MATCH(A1135,FX!$A:$A,1)),""))</f>
        <v/>
      </c>
      <c r="D1135" s="14" t="str">
        <f aca="false">IF(A1135="","",SUMIFS(Transactions!$D:$D,Transactions!$A:$A,"&lt;="&amp;A1135,Transactions!$B:$B,Settings!$B$1))</f>
        <v/>
      </c>
      <c r="E1135" s="14" t="str">
        <f aca="false">IF(A1135="","",SUMIFS(Transactions!$C:$C,Transactions!$A:$A,"&lt;="&amp;A1135,Transactions!$B:$B,Settings!$B$1)+SUMIFS(Transactions!$F:$F,Transactions!$A:$A,"&lt;="&amp;A1135,Transactions!$B:$B,Settings!$B$1))</f>
        <v/>
      </c>
      <c r="F1135" s="14" t="str">
        <f aca="false">IF(A1135="","",IF(C1135="","",D1135*B1135*C1135))</f>
        <v/>
      </c>
      <c r="G1135" s="14" t="str">
        <f aca="false">IF(F1135="","",F1135-E1135)</f>
        <v/>
      </c>
      <c r="H1135" s="14" t="str">
        <f aca="false">IF(F1135="","",IFERROR(F1135-F1134-(E1135-E1134),0))</f>
        <v/>
      </c>
    </row>
    <row r="1136" customFormat="false" ht="15" hidden="false" customHeight="false" outlineLevel="0" collapsed="false">
      <c r="A1136" s="13" t="str">
        <f aca="false">IF(Prices!A1136="","",Prices!A1136)</f>
        <v/>
      </c>
      <c r="B1136" s="14" t="str">
        <f aca="false">IF(A1136="","",Prices!C1136)</f>
        <v/>
      </c>
      <c r="C1136" s="15" t="str">
        <f aca="false">IF(A1136="","",IFERROR(INDEX(FX!$B:$B,MATCH(A1136,FX!$A:$A,1)),""))</f>
        <v/>
      </c>
      <c r="D1136" s="14" t="str">
        <f aca="false">IF(A1136="","",SUMIFS(Transactions!$D:$D,Transactions!$A:$A,"&lt;="&amp;A1136,Transactions!$B:$B,Settings!$B$1))</f>
        <v/>
      </c>
      <c r="E1136" s="14" t="str">
        <f aca="false">IF(A1136="","",SUMIFS(Transactions!$C:$C,Transactions!$A:$A,"&lt;="&amp;A1136,Transactions!$B:$B,Settings!$B$1)+SUMIFS(Transactions!$F:$F,Transactions!$A:$A,"&lt;="&amp;A1136,Transactions!$B:$B,Settings!$B$1))</f>
        <v/>
      </c>
      <c r="F1136" s="14" t="str">
        <f aca="false">IF(A1136="","",IF(C1136="","",D1136*B1136*C1136))</f>
        <v/>
      </c>
      <c r="G1136" s="14" t="str">
        <f aca="false">IF(F1136="","",F1136-E1136)</f>
        <v/>
      </c>
      <c r="H1136" s="14" t="str">
        <f aca="false">IF(F1136="","",IFERROR(F1136-F1135-(E1136-E1135),0))</f>
        <v/>
      </c>
    </row>
    <row r="1137" customFormat="false" ht="15" hidden="false" customHeight="false" outlineLevel="0" collapsed="false">
      <c r="A1137" s="13" t="str">
        <f aca="false">IF(Prices!A1137="","",Prices!A1137)</f>
        <v/>
      </c>
      <c r="B1137" s="14" t="str">
        <f aca="false">IF(A1137="","",Prices!C1137)</f>
        <v/>
      </c>
      <c r="C1137" s="15" t="str">
        <f aca="false">IF(A1137="","",IFERROR(INDEX(FX!$B:$B,MATCH(A1137,FX!$A:$A,1)),""))</f>
        <v/>
      </c>
      <c r="D1137" s="14" t="str">
        <f aca="false">IF(A1137="","",SUMIFS(Transactions!$D:$D,Transactions!$A:$A,"&lt;="&amp;A1137,Transactions!$B:$B,Settings!$B$1))</f>
        <v/>
      </c>
      <c r="E1137" s="14" t="str">
        <f aca="false">IF(A1137="","",SUMIFS(Transactions!$C:$C,Transactions!$A:$A,"&lt;="&amp;A1137,Transactions!$B:$B,Settings!$B$1)+SUMIFS(Transactions!$F:$F,Transactions!$A:$A,"&lt;="&amp;A1137,Transactions!$B:$B,Settings!$B$1))</f>
        <v/>
      </c>
      <c r="F1137" s="14" t="str">
        <f aca="false">IF(A1137="","",IF(C1137="","",D1137*B1137*C1137))</f>
        <v/>
      </c>
      <c r="G1137" s="14" t="str">
        <f aca="false">IF(F1137="","",F1137-E1137)</f>
        <v/>
      </c>
      <c r="H1137" s="14" t="str">
        <f aca="false">IF(F1137="","",IFERROR(F1137-F1136-(E1137-E1136),0))</f>
        <v/>
      </c>
    </row>
    <row r="1138" customFormat="false" ht="15" hidden="false" customHeight="false" outlineLevel="0" collapsed="false">
      <c r="A1138" s="13" t="str">
        <f aca="false">IF(Prices!A1138="","",Prices!A1138)</f>
        <v/>
      </c>
      <c r="B1138" s="14" t="str">
        <f aca="false">IF(A1138="","",Prices!C1138)</f>
        <v/>
      </c>
      <c r="C1138" s="15" t="str">
        <f aca="false">IF(A1138="","",IFERROR(INDEX(FX!$B:$B,MATCH(A1138,FX!$A:$A,1)),""))</f>
        <v/>
      </c>
      <c r="D1138" s="14" t="str">
        <f aca="false">IF(A1138="","",SUMIFS(Transactions!$D:$D,Transactions!$A:$A,"&lt;="&amp;A1138,Transactions!$B:$B,Settings!$B$1))</f>
        <v/>
      </c>
      <c r="E1138" s="14" t="str">
        <f aca="false">IF(A1138="","",SUMIFS(Transactions!$C:$C,Transactions!$A:$A,"&lt;="&amp;A1138,Transactions!$B:$B,Settings!$B$1)+SUMIFS(Transactions!$F:$F,Transactions!$A:$A,"&lt;="&amp;A1138,Transactions!$B:$B,Settings!$B$1))</f>
        <v/>
      </c>
      <c r="F1138" s="14" t="str">
        <f aca="false">IF(A1138="","",IF(C1138="","",D1138*B1138*C1138))</f>
        <v/>
      </c>
      <c r="G1138" s="14" t="str">
        <f aca="false">IF(F1138="","",F1138-E1138)</f>
        <v/>
      </c>
      <c r="H1138" s="14" t="str">
        <f aca="false">IF(F1138="","",IFERROR(F1138-F1137-(E1138-E1137),0))</f>
        <v/>
      </c>
    </row>
    <row r="1139" customFormat="false" ht="15" hidden="false" customHeight="false" outlineLevel="0" collapsed="false">
      <c r="A1139" s="13" t="str">
        <f aca="false">IF(Prices!A1139="","",Prices!A1139)</f>
        <v/>
      </c>
      <c r="B1139" s="14" t="str">
        <f aca="false">IF(A1139="","",Prices!C1139)</f>
        <v/>
      </c>
      <c r="C1139" s="15" t="str">
        <f aca="false">IF(A1139="","",IFERROR(INDEX(FX!$B:$B,MATCH(A1139,FX!$A:$A,1)),""))</f>
        <v/>
      </c>
      <c r="D1139" s="14" t="str">
        <f aca="false">IF(A1139="","",SUMIFS(Transactions!$D:$D,Transactions!$A:$A,"&lt;="&amp;A1139,Transactions!$B:$B,Settings!$B$1))</f>
        <v/>
      </c>
      <c r="E1139" s="14" t="str">
        <f aca="false">IF(A1139="","",SUMIFS(Transactions!$C:$C,Transactions!$A:$A,"&lt;="&amp;A1139,Transactions!$B:$B,Settings!$B$1)+SUMIFS(Transactions!$F:$F,Transactions!$A:$A,"&lt;="&amp;A1139,Transactions!$B:$B,Settings!$B$1))</f>
        <v/>
      </c>
      <c r="F1139" s="14" t="str">
        <f aca="false">IF(A1139="","",IF(C1139="","",D1139*B1139*C1139))</f>
        <v/>
      </c>
      <c r="G1139" s="14" t="str">
        <f aca="false">IF(F1139="","",F1139-E1139)</f>
        <v/>
      </c>
      <c r="H1139" s="14" t="str">
        <f aca="false">IF(F1139="","",IFERROR(F1139-F1138-(E1139-E1138),0))</f>
        <v/>
      </c>
    </row>
    <row r="1140" customFormat="false" ht="15" hidden="false" customHeight="false" outlineLevel="0" collapsed="false">
      <c r="A1140" s="13" t="str">
        <f aca="false">IF(Prices!A1140="","",Prices!A1140)</f>
        <v/>
      </c>
      <c r="B1140" s="14" t="str">
        <f aca="false">IF(A1140="","",Prices!C1140)</f>
        <v/>
      </c>
      <c r="C1140" s="15" t="str">
        <f aca="false">IF(A1140="","",IFERROR(INDEX(FX!$B:$B,MATCH(A1140,FX!$A:$A,1)),""))</f>
        <v/>
      </c>
      <c r="D1140" s="14" t="str">
        <f aca="false">IF(A1140="","",SUMIFS(Transactions!$D:$D,Transactions!$A:$A,"&lt;="&amp;A1140,Transactions!$B:$B,Settings!$B$1))</f>
        <v/>
      </c>
      <c r="E1140" s="14" t="str">
        <f aca="false">IF(A1140="","",SUMIFS(Transactions!$C:$C,Transactions!$A:$A,"&lt;="&amp;A1140,Transactions!$B:$B,Settings!$B$1)+SUMIFS(Transactions!$F:$F,Transactions!$A:$A,"&lt;="&amp;A1140,Transactions!$B:$B,Settings!$B$1))</f>
        <v/>
      </c>
      <c r="F1140" s="14" t="str">
        <f aca="false">IF(A1140="","",IF(C1140="","",D1140*B1140*C1140))</f>
        <v/>
      </c>
      <c r="G1140" s="14" t="str">
        <f aca="false">IF(F1140="","",F1140-E1140)</f>
        <v/>
      </c>
      <c r="H1140" s="14" t="str">
        <f aca="false">IF(F1140="","",IFERROR(F1140-F1139-(E1140-E1139),0))</f>
        <v/>
      </c>
    </row>
    <row r="1141" customFormat="false" ht="15" hidden="false" customHeight="false" outlineLevel="0" collapsed="false">
      <c r="A1141" s="13" t="str">
        <f aca="false">IF(Prices!A1141="","",Prices!A1141)</f>
        <v/>
      </c>
      <c r="B1141" s="14" t="str">
        <f aca="false">IF(A1141="","",Prices!C1141)</f>
        <v/>
      </c>
      <c r="C1141" s="15" t="str">
        <f aca="false">IF(A1141="","",IFERROR(INDEX(FX!$B:$B,MATCH(A1141,FX!$A:$A,1)),""))</f>
        <v/>
      </c>
      <c r="D1141" s="14" t="str">
        <f aca="false">IF(A1141="","",SUMIFS(Transactions!$D:$D,Transactions!$A:$A,"&lt;="&amp;A1141,Transactions!$B:$B,Settings!$B$1))</f>
        <v/>
      </c>
      <c r="E1141" s="14" t="str">
        <f aca="false">IF(A1141="","",SUMIFS(Transactions!$C:$C,Transactions!$A:$A,"&lt;="&amp;A1141,Transactions!$B:$B,Settings!$B$1)+SUMIFS(Transactions!$F:$F,Transactions!$A:$A,"&lt;="&amp;A1141,Transactions!$B:$B,Settings!$B$1))</f>
        <v/>
      </c>
      <c r="F1141" s="14" t="str">
        <f aca="false">IF(A1141="","",IF(C1141="","",D1141*B1141*C1141))</f>
        <v/>
      </c>
      <c r="G1141" s="14" t="str">
        <f aca="false">IF(F1141="","",F1141-E1141)</f>
        <v/>
      </c>
      <c r="H1141" s="14" t="str">
        <f aca="false">IF(F1141="","",IFERROR(F1141-F1140-(E1141-E1140),0))</f>
        <v/>
      </c>
    </row>
    <row r="1142" customFormat="false" ht="15" hidden="false" customHeight="false" outlineLevel="0" collapsed="false">
      <c r="A1142" s="13" t="str">
        <f aca="false">IF(Prices!A1142="","",Prices!A1142)</f>
        <v/>
      </c>
      <c r="B1142" s="14" t="str">
        <f aca="false">IF(A1142="","",Prices!C1142)</f>
        <v/>
      </c>
      <c r="C1142" s="15" t="str">
        <f aca="false">IF(A1142="","",IFERROR(INDEX(FX!$B:$B,MATCH(A1142,FX!$A:$A,1)),""))</f>
        <v/>
      </c>
      <c r="D1142" s="14" t="str">
        <f aca="false">IF(A1142="","",SUMIFS(Transactions!$D:$D,Transactions!$A:$A,"&lt;="&amp;A1142,Transactions!$B:$B,Settings!$B$1))</f>
        <v/>
      </c>
      <c r="E1142" s="14" t="str">
        <f aca="false">IF(A1142="","",SUMIFS(Transactions!$C:$C,Transactions!$A:$A,"&lt;="&amp;A1142,Transactions!$B:$B,Settings!$B$1)+SUMIFS(Transactions!$F:$F,Transactions!$A:$A,"&lt;="&amp;A1142,Transactions!$B:$B,Settings!$B$1))</f>
        <v/>
      </c>
      <c r="F1142" s="14" t="str">
        <f aca="false">IF(A1142="","",IF(C1142="","",D1142*B1142*C1142))</f>
        <v/>
      </c>
      <c r="G1142" s="14" t="str">
        <f aca="false">IF(F1142="","",F1142-E1142)</f>
        <v/>
      </c>
      <c r="H1142" s="14" t="str">
        <f aca="false">IF(F1142="","",IFERROR(F1142-F1141-(E1142-E1141),0))</f>
        <v/>
      </c>
    </row>
    <row r="1143" customFormat="false" ht="15" hidden="false" customHeight="false" outlineLevel="0" collapsed="false">
      <c r="A1143" s="13" t="str">
        <f aca="false">IF(Prices!A1143="","",Prices!A1143)</f>
        <v/>
      </c>
      <c r="B1143" s="14" t="str">
        <f aca="false">IF(A1143="","",Prices!C1143)</f>
        <v/>
      </c>
      <c r="C1143" s="15" t="str">
        <f aca="false">IF(A1143="","",IFERROR(INDEX(FX!$B:$B,MATCH(A1143,FX!$A:$A,1)),""))</f>
        <v/>
      </c>
      <c r="D1143" s="14" t="str">
        <f aca="false">IF(A1143="","",SUMIFS(Transactions!$D:$D,Transactions!$A:$A,"&lt;="&amp;A1143,Transactions!$B:$B,Settings!$B$1))</f>
        <v/>
      </c>
      <c r="E1143" s="14" t="str">
        <f aca="false">IF(A1143="","",SUMIFS(Transactions!$C:$C,Transactions!$A:$A,"&lt;="&amp;A1143,Transactions!$B:$B,Settings!$B$1)+SUMIFS(Transactions!$F:$F,Transactions!$A:$A,"&lt;="&amp;A1143,Transactions!$B:$B,Settings!$B$1))</f>
        <v/>
      </c>
      <c r="F1143" s="14" t="str">
        <f aca="false">IF(A1143="","",IF(C1143="","",D1143*B1143*C1143))</f>
        <v/>
      </c>
      <c r="G1143" s="14" t="str">
        <f aca="false">IF(F1143="","",F1143-E1143)</f>
        <v/>
      </c>
      <c r="H1143" s="14" t="str">
        <f aca="false">IF(F1143="","",IFERROR(F1143-F1142-(E1143-E1142),0))</f>
        <v/>
      </c>
    </row>
    <row r="1144" customFormat="false" ht="15" hidden="false" customHeight="false" outlineLevel="0" collapsed="false">
      <c r="A1144" s="13" t="str">
        <f aca="false">IF(Prices!A1144="","",Prices!A1144)</f>
        <v/>
      </c>
      <c r="B1144" s="14" t="str">
        <f aca="false">IF(A1144="","",Prices!C1144)</f>
        <v/>
      </c>
      <c r="C1144" s="15" t="str">
        <f aca="false">IF(A1144="","",IFERROR(INDEX(FX!$B:$B,MATCH(A1144,FX!$A:$A,1)),""))</f>
        <v/>
      </c>
      <c r="D1144" s="14" t="str">
        <f aca="false">IF(A1144="","",SUMIFS(Transactions!$D:$D,Transactions!$A:$A,"&lt;="&amp;A1144,Transactions!$B:$B,Settings!$B$1))</f>
        <v/>
      </c>
      <c r="E1144" s="14" t="str">
        <f aca="false">IF(A1144="","",SUMIFS(Transactions!$C:$C,Transactions!$A:$A,"&lt;="&amp;A1144,Transactions!$B:$B,Settings!$B$1)+SUMIFS(Transactions!$F:$F,Transactions!$A:$A,"&lt;="&amp;A1144,Transactions!$B:$B,Settings!$B$1))</f>
        <v/>
      </c>
      <c r="F1144" s="14" t="str">
        <f aca="false">IF(A1144="","",IF(C1144="","",D1144*B1144*C1144))</f>
        <v/>
      </c>
      <c r="G1144" s="14" t="str">
        <f aca="false">IF(F1144="","",F1144-E1144)</f>
        <v/>
      </c>
      <c r="H1144" s="14" t="str">
        <f aca="false">IF(F1144="","",IFERROR(F1144-F1143-(E1144-E1143),0))</f>
        <v/>
      </c>
    </row>
    <row r="1145" customFormat="false" ht="15" hidden="false" customHeight="false" outlineLevel="0" collapsed="false">
      <c r="A1145" s="13" t="str">
        <f aca="false">IF(Prices!A1145="","",Prices!A1145)</f>
        <v/>
      </c>
      <c r="B1145" s="14" t="str">
        <f aca="false">IF(A1145="","",Prices!C1145)</f>
        <v/>
      </c>
      <c r="C1145" s="15" t="str">
        <f aca="false">IF(A1145="","",IFERROR(INDEX(FX!$B:$B,MATCH(A1145,FX!$A:$A,1)),""))</f>
        <v/>
      </c>
      <c r="D1145" s="14" t="str">
        <f aca="false">IF(A1145="","",SUMIFS(Transactions!$D:$D,Transactions!$A:$A,"&lt;="&amp;A1145,Transactions!$B:$B,Settings!$B$1))</f>
        <v/>
      </c>
      <c r="E1145" s="14" t="str">
        <f aca="false">IF(A1145="","",SUMIFS(Transactions!$C:$C,Transactions!$A:$A,"&lt;="&amp;A1145,Transactions!$B:$B,Settings!$B$1)+SUMIFS(Transactions!$F:$F,Transactions!$A:$A,"&lt;="&amp;A1145,Transactions!$B:$B,Settings!$B$1))</f>
        <v/>
      </c>
      <c r="F1145" s="14" t="str">
        <f aca="false">IF(A1145="","",IF(C1145="","",D1145*B1145*C1145))</f>
        <v/>
      </c>
      <c r="G1145" s="14" t="str">
        <f aca="false">IF(F1145="","",F1145-E1145)</f>
        <v/>
      </c>
      <c r="H1145" s="14" t="str">
        <f aca="false">IF(F1145="","",IFERROR(F1145-F1144-(E1145-E1144),0))</f>
        <v/>
      </c>
    </row>
    <row r="1146" customFormat="false" ht="15" hidden="false" customHeight="false" outlineLevel="0" collapsed="false">
      <c r="A1146" s="13" t="str">
        <f aca="false">IF(Prices!A1146="","",Prices!A1146)</f>
        <v/>
      </c>
      <c r="B1146" s="14" t="str">
        <f aca="false">IF(A1146="","",Prices!C1146)</f>
        <v/>
      </c>
      <c r="C1146" s="15" t="str">
        <f aca="false">IF(A1146="","",IFERROR(INDEX(FX!$B:$B,MATCH(A1146,FX!$A:$A,1)),""))</f>
        <v/>
      </c>
      <c r="D1146" s="14" t="str">
        <f aca="false">IF(A1146="","",SUMIFS(Transactions!$D:$D,Transactions!$A:$A,"&lt;="&amp;A1146,Transactions!$B:$B,Settings!$B$1))</f>
        <v/>
      </c>
      <c r="E1146" s="14" t="str">
        <f aca="false">IF(A1146="","",SUMIFS(Transactions!$C:$C,Transactions!$A:$A,"&lt;="&amp;A1146,Transactions!$B:$B,Settings!$B$1)+SUMIFS(Transactions!$F:$F,Transactions!$A:$A,"&lt;="&amp;A1146,Transactions!$B:$B,Settings!$B$1))</f>
        <v/>
      </c>
      <c r="F1146" s="14" t="str">
        <f aca="false">IF(A1146="","",IF(C1146="","",D1146*B1146*C1146))</f>
        <v/>
      </c>
      <c r="G1146" s="14" t="str">
        <f aca="false">IF(F1146="","",F1146-E1146)</f>
        <v/>
      </c>
      <c r="H1146" s="14" t="str">
        <f aca="false">IF(F1146="","",IFERROR(F1146-F1145-(E1146-E1145),0))</f>
        <v/>
      </c>
    </row>
    <row r="1147" customFormat="false" ht="15" hidden="false" customHeight="false" outlineLevel="0" collapsed="false">
      <c r="A1147" s="13" t="str">
        <f aca="false">IF(Prices!A1147="","",Prices!A1147)</f>
        <v/>
      </c>
      <c r="B1147" s="14" t="str">
        <f aca="false">IF(A1147="","",Prices!C1147)</f>
        <v/>
      </c>
      <c r="C1147" s="15" t="str">
        <f aca="false">IF(A1147="","",IFERROR(INDEX(FX!$B:$B,MATCH(A1147,FX!$A:$A,1)),""))</f>
        <v/>
      </c>
      <c r="D1147" s="14" t="str">
        <f aca="false">IF(A1147="","",SUMIFS(Transactions!$D:$D,Transactions!$A:$A,"&lt;="&amp;A1147,Transactions!$B:$B,Settings!$B$1))</f>
        <v/>
      </c>
      <c r="E1147" s="14" t="str">
        <f aca="false">IF(A1147="","",SUMIFS(Transactions!$C:$C,Transactions!$A:$A,"&lt;="&amp;A1147,Transactions!$B:$B,Settings!$B$1)+SUMIFS(Transactions!$F:$F,Transactions!$A:$A,"&lt;="&amp;A1147,Transactions!$B:$B,Settings!$B$1))</f>
        <v/>
      </c>
      <c r="F1147" s="14" t="str">
        <f aca="false">IF(A1147="","",IF(C1147="","",D1147*B1147*C1147))</f>
        <v/>
      </c>
      <c r="G1147" s="14" t="str">
        <f aca="false">IF(F1147="","",F1147-E1147)</f>
        <v/>
      </c>
      <c r="H1147" s="14" t="str">
        <f aca="false">IF(F1147="","",IFERROR(F1147-F1146-(E1147-E1146),0))</f>
        <v/>
      </c>
    </row>
    <row r="1148" customFormat="false" ht="15" hidden="false" customHeight="false" outlineLevel="0" collapsed="false">
      <c r="A1148" s="13" t="str">
        <f aca="false">IF(Prices!A1148="","",Prices!A1148)</f>
        <v/>
      </c>
      <c r="B1148" s="14" t="str">
        <f aca="false">IF(A1148="","",Prices!C1148)</f>
        <v/>
      </c>
      <c r="C1148" s="15" t="str">
        <f aca="false">IF(A1148="","",IFERROR(INDEX(FX!$B:$B,MATCH(A1148,FX!$A:$A,1)),""))</f>
        <v/>
      </c>
      <c r="D1148" s="14" t="str">
        <f aca="false">IF(A1148="","",SUMIFS(Transactions!$D:$D,Transactions!$A:$A,"&lt;="&amp;A1148,Transactions!$B:$B,Settings!$B$1))</f>
        <v/>
      </c>
      <c r="E1148" s="14" t="str">
        <f aca="false">IF(A1148="","",SUMIFS(Transactions!$C:$C,Transactions!$A:$A,"&lt;="&amp;A1148,Transactions!$B:$B,Settings!$B$1)+SUMIFS(Transactions!$F:$F,Transactions!$A:$A,"&lt;="&amp;A1148,Transactions!$B:$B,Settings!$B$1))</f>
        <v/>
      </c>
      <c r="F1148" s="14" t="str">
        <f aca="false">IF(A1148="","",IF(C1148="","",D1148*B1148*C1148))</f>
        <v/>
      </c>
      <c r="G1148" s="14" t="str">
        <f aca="false">IF(F1148="","",F1148-E1148)</f>
        <v/>
      </c>
      <c r="H1148" s="14" t="str">
        <f aca="false">IF(F1148="","",IFERROR(F1148-F1147-(E1148-E1147),0))</f>
        <v/>
      </c>
    </row>
    <row r="1149" customFormat="false" ht="15" hidden="false" customHeight="false" outlineLevel="0" collapsed="false">
      <c r="A1149" s="13" t="str">
        <f aca="false">IF(Prices!A1149="","",Prices!A1149)</f>
        <v/>
      </c>
      <c r="B1149" s="14" t="str">
        <f aca="false">IF(A1149="","",Prices!C1149)</f>
        <v/>
      </c>
      <c r="C1149" s="15" t="str">
        <f aca="false">IF(A1149="","",IFERROR(INDEX(FX!$B:$B,MATCH(A1149,FX!$A:$A,1)),""))</f>
        <v/>
      </c>
      <c r="D1149" s="14" t="str">
        <f aca="false">IF(A1149="","",SUMIFS(Transactions!$D:$D,Transactions!$A:$A,"&lt;="&amp;A1149,Transactions!$B:$B,Settings!$B$1))</f>
        <v/>
      </c>
      <c r="E1149" s="14" t="str">
        <f aca="false">IF(A1149="","",SUMIFS(Transactions!$C:$C,Transactions!$A:$A,"&lt;="&amp;A1149,Transactions!$B:$B,Settings!$B$1)+SUMIFS(Transactions!$F:$F,Transactions!$A:$A,"&lt;="&amp;A1149,Transactions!$B:$B,Settings!$B$1))</f>
        <v/>
      </c>
      <c r="F1149" s="14" t="str">
        <f aca="false">IF(A1149="","",IF(C1149="","",D1149*B1149*C1149))</f>
        <v/>
      </c>
      <c r="G1149" s="14" t="str">
        <f aca="false">IF(F1149="","",F1149-E1149)</f>
        <v/>
      </c>
      <c r="H1149" s="14" t="str">
        <f aca="false">IF(F1149="","",IFERROR(F1149-F1148-(E1149-E1148),0))</f>
        <v/>
      </c>
    </row>
    <row r="1150" customFormat="false" ht="15" hidden="false" customHeight="false" outlineLevel="0" collapsed="false">
      <c r="A1150" s="13" t="str">
        <f aca="false">IF(Prices!A1150="","",Prices!A1150)</f>
        <v/>
      </c>
      <c r="B1150" s="14" t="str">
        <f aca="false">IF(A1150="","",Prices!C1150)</f>
        <v/>
      </c>
      <c r="C1150" s="15" t="str">
        <f aca="false">IF(A1150="","",IFERROR(INDEX(FX!$B:$B,MATCH(A1150,FX!$A:$A,1)),""))</f>
        <v/>
      </c>
      <c r="D1150" s="14" t="str">
        <f aca="false">IF(A1150="","",SUMIFS(Transactions!$D:$D,Transactions!$A:$A,"&lt;="&amp;A1150,Transactions!$B:$B,Settings!$B$1))</f>
        <v/>
      </c>
      <c r="E1150" s="14" t="str">
        <f aca="false">IF(A1150="","",SUMIFS(Transactions!$C:$C,Transactions!$A:$A,"&lt;="&amp;A1150,Transactions!$B:$B,Settings!$B$1)+SUMIFS(Transactions!$F:$F,Transactions!$A:$A,"&lt;="&amp;A1150,Transactions!$B:$B,Settings!$B$1))</f>
        <v/>
      </c>
      <c r="F1150" s="14" t="str">
        <f aca="false">IF(A1150="","",IF(C1150="","",D1150*B1150*C1150))</f>
        <v/>
      </c>
      <c r="G1150" s="14" t="str">
        <f aca="false">IF(F1150="","",F1150-E1150)</f>
        <v/>
      </c>
      <c r="H1150" s="14" t="str">
        <f aca="false">IF(F1150="","",IFERROR(F1150-F1149-(E1150-E1149),0))</f>
        <v/>
      </c>
    </row>
    <row r="1151" customFormat="false" ht="15" hidden="false" customHeight="false" outlineLevel="0" collapsed="false">
      <c r="A1151" s="13" t="str">
        <f aca="false">IF(Prices!A1151="","",Prices!A1151)</f>
        <v/>
      </c>
      <c r="B1151" s="14" t="str">
        <f aca="false">IF(A1151="","",Prices!C1151)</f>
        <v/>
      </c>
      <c r="C1151" s="15" t="str">
        <f aca="false">IF(A1151="","",IFERROR(INDEX(FX!$B:$B,MATCH(A1151,FX!$A:$A,1)),""))</f>
        <v/>
      </c>
      <c r="D1151" s="14" t="str">
        <f aca="false">IF(A1151="","",SUMIFS(Transactions!$D:$D,Transactions!$A:$A,"&lt;="&amp;A1151,Transactions!$B:$B,Settings!$B$1))</f>
        <v/>
      </c>
      <c r="E1151" s="14" t="str">
        <f aca="false">IF(A1151="","",SUMIFS(Transactions!$C:$C,Transactions!$A:$A,"&lt;="&amp;A1151,Transactions!$B:$B,Settings!$B$1)+SUMIFS(Transactions!$F:$F,Transactions!$A:$A,"&lt;="&amp;A1151,Transactions!$B:$B,Settings!$B$1))</f>
        <v/>
      </c>
      <c r="F1151" s="14" t="str">
        <f aca="false">IF(A1151="","",IF(C1151="","",D1151*B1151*C1151))</f>
        <v/>
      </c>
      <c r="G1151" s="14" t="str">
        <f aca="false">IF(F1151="","",F1151-E1151)</f>
        <v/>
      </c>
      <c r="H1151" s="14" t="str">
        <f aca="false">IF(F1151="","",IFERROR(F1151-F1150-(E1151-E1150),0))</f>
        <v/>
      </c>
    </row>
    <row r="1152" customFormat="false" ht="15" hidden="false" customHeight="false" outlineLevel="0" collapsed="false">
      <c r="A1152" s="13" t="str">
        <f aca="false">IF(Prices!A1152="","",Prices!A1152)</f>
        <v/>
      </c>
      <c r="B1152" s="14" t="str">
        <f aca="false">IF(A1152="","",Prices!C1152)</f>
        <v/>
      </c>
      <c r="C1152" s="15" t="str">
        <f aca="false">IF(A1152="","",IFERROR(INDEX(FX!$B:$B,MATCH(A1152,FX!$A:$A,1)),""))</f>
        <v/>
      </c>
      <c r="D1152" s="14" t="str">
        <f aca="false">IF(A1152="","",SUMIFS(Transactions!$D:$D,Transactions!$A:$A,"&lt;="&amp;A1152,Transactions!$B:$B,Settings!$B$1))</f>
        <v/>
      </c>
      <c r="E1152" s="14" t="str">
        <f aca="false">IF(A1152="","",SUMIFS(Transactions!$C:$C,Transactions!$A:$A,"&lt;="&amp;A1152,Transactions!$B:$B,Settings!$B$1)+SUMIFS(Transactions!$F:$F,Transactions!$A:$A,"&lt;="&amp;A1152,Transactions!$B:$B,Settings!$B$1))</f>
        <v/>
      </c>
      <c r="F1152" s="14" t="str">
        <f aca="false">IF(A1152="","",IF(C1152="","",D1152*B1152*C1152))</f>
        <v/>
      </c>
      <c r="G1152" s="14" t="str">
        <f aca="false">IF(F1152="","",F1152-E1152)</f>
        <v/>
      </c>
      <c r="H1152" s="14" t="str">
        <f aca="false">IF(F1152="","",IFERROR(F1152-F1151-(E1152-E1151),0))</f>
        <v/>
      </c>
    </row>
    <row r="1153" customFormat="false" ht="15" hidden="false" customHeight="false" outlineLevel="0" collapsed="false">
      <c r="A1153" s="13" t="str">
        <f aca="false">IF(Prices!A1153="","",Prices!A1153)</f>
        <v/>
      </c>
      <c r="B1153" s="14" t="str">
        <f aca="false">IF(A1153="","",Prices!C1153)</f>
        <v/>
      </c>
      <c r="C1153" s="15" t="str">
        <f aca="false">IF(A1153="","",IFERROR(INDEX(FX!$B:$B,MATCH(A1153,FX!$A:$A,1)),""))</f>
        <v/>
      </c>
      <c r="D1153" s="14" t="str">
        <f aca="false">IF(A1153="","",SUMIFS(Transactions!$D:$D,Transactions!$A:$A,"&lt;="&amp;A1153,Transactions!$B:$B,Settings!$B$1))</f>
        <v/>
      </c>
      <c r="E1153" s="14" t="str">
        <f aca="false">IF(A1153="","",SUMIFS(Transactions!$C:$C,Transactions!$A:$A,"&lt;="&amp;A1153,Transactions!$B:$B,Settings!$B$1)+SUMIFS(Transactions!$F:$F,Transactions!$A:$A,"&lt;="&amp;A1153,Transactions!$B:$B,Settings!$B$1))</f>
        <v/>
      </c>
      <c r="F1153" s="14" t="str">
        <f aca="false">IF(A1153="","",IF(C1153="","",D1153*B1153*C1153))</f>
        <v/>
      </c>
      <c r="G1153" s="14" t="str">
        <f aca="false">IF(F1153="","",F1153-E1153)</f>
        <v/>
      </c>
      <c r="H1153" s="14" t="str">
        <f aca="false">IF(F1153="","",IFERROR(F1153-F1152-(E1153-E1152),0))</f>
        <v/>
      </c>
    </row>
    <row r="1154" customFormat="false" ht="15" hidden="false" customHeight="false" outlineLevel="0" collapsed="false">
      <c r="A1154" s="13" t="str">
        <f aca="false">IF(Prices!A1154="","",Prices!A1154)</f>
        <v/>
      </c>
      <c r="B1154" s="14" t="str">
        <f aca="false">IF(A1154="","",Prices!C1154)</f>
        <v/>
      </c>
      <c r="C1154" s="15" t="str">
        <f aca="false">IF(A1154="","",IFERROR(INDEX(FX!$B:$B,MATCH(A1154,FX!$A:$A,1)),""))</f>
        <v/>
      </c>
      <c r="D1154" s="14" t="str">
        <f aca="false">IF(A1154="","",SUMIFS(Transactions!$D:$D,Transactions!$A:$A,"&lt;="&amp;A1154,Transactions!$B:$B,Settings!$B$1))</f>
        <v/>
      </c>
      <c r="E1154" s="14" t="str">
        <f aca="false">IF(A1154="","",SUMIFS(Transactions!$C:$C,Transactions!$A:$A,"&lt;="&amp;A1154,Transactions!$B:$B,Settings!$B$1)+SUMIFS(Transactions!$F:$F,Transactions!$A:$A,"&lt;="&amp;A1154,Transactions!$B:$B,Settings!$B$1))</f>
        <v/>
      </c>
      <c r="F1154" s="14" t="str">
        <f aca="false">IF(A1154="","",IF(C1154="","",D1154*B1154*C1154))</f>
        <v/>
      </c>
      <c r="G1154" s="14" t="str">
        <f aca="false">IF(F1154="","",F1154-E1154)</f>
        <v/>
      </c>
      <c r="H1154" s="14" t="str">
        <f aca="false">IF(F1154="","",IFERROR(F1154-F1153-(E1154-E1153),0))</f>
        <v/>
      </c>
    </row>
    <row r="1155" customFormat="false" ht="15" hidden="false" customHeight="false" outlineLevel="0" collapsed="false">
      <c r="A1155" s="13" t="str">
        <f aca="false">IF(Prices!A1155="","",Prices!A1155)</f>
        <v/>
      </c>
      <c r="B1155" s="14" t="str">
        <f aca="false">IF(A1155="","",Prices!C1155)</f>
        <v/>
      </c>
      <c r="C1155" s="15" t="str">
        <f aca="false">IF(A1155="","",IFERROR(INDEX(FX!$B:$B,MATCH(A1155,FX!$A:$A,1)),""))</f>
        <v/>
      </c>
      <c r="D1155" s="14" t="str">
        <f aca="false">IF(A1155="","",SUMIFS(Transactions!$D:$D,Transactions!$A:$A,"&lt;="&amp;A1155,Transactions!$B:$B,Settings!$B$1))</f>
        <v/>
      </c>
      <c r="E1155" s="14" t="str">
        <f aca="false">IF(A1155="","",SUMIFS(Transactions!$C:$C,Transactions!$A:$A,"&lt;="&amp;A1155,Transactions!$B:$B,Settings!$B$1)+SUMIFS(Transactions!$F:$F,Transactions!$A:$A,"&lt;="&amp;A1155,Transactions!$B:$B,Settings!$B$1))</f>
        <v/>
      </c>
      <c r="F1155" s="14" t="str">
        <f aca="false">IF(A1155="","",IF(C1155="","",D1155*B1155*C1155))</f>
        <v/>
      </c>
      <c r="G1155" s="14" t="str">
        <f aca="false">IF(F1155="","",F1155-E1155)</f>
        <v/>
      </c>
      <c r="H1155" s="14" t="str">
        <f aca="false">IF(F1155="","",IFERROR(F1155-F1154-(E1155-E1154),0))</f>
        <v/>
      </c>
    </row>
    <row r="1156" customFormat="false" ht="15" hidden="false" customHeight="false" outlineLevel="0" collapsed="false">
      <c r="A1156" s="13" t="str">
        <f aca="false">IF(Prices!A1156="","",Prices!A1156)</f>
        <v/>
      </c>
      <c r="B1156" s="14" t="str">
        <f aca="false">IF(A1156="","",Prices!C1156)</f>
        <v/>
      </c>
      <c r="C1156" s="15" t="str">
        <f aca="false">IF(A1156="","",IFERROR(INDEX(FX!$B:$B,MATCH(A1156,FX!$A:$A,1)),""))</f>
        <v/>
      </c>
      <c r="D1156" s="14" t="str">
        <f aca="false">IF(A1156="","",SUMIFS(Transactions!$D:$D,Transactions!$A:$A,"&lt;="&amp;A1156,Transactions!$B:$B,Settings!$B$1))</f>
        <v/>
      </c>
      <c r="E1156" s="14" t="str">
        <f aca="false">IF(A1156="","",SUMIFS(Transactions!$C:$C,Transactions!$A:$A,"&lt;="&amp;A1156,Transactions!$B:$B,Settings!$B$1)+SUMIFS(Transactions!$F:$F,Transactions!$A:$A,"&lt;="&amp;A1156,Transactions!$B:$B,Settings!$B$1))</f>
        <v/>
      </c>
      <c r="F1156" s="14" t="str">
        <f aca="false">IF(A1156="","",IF(C1156="","",D1156*B1156*C1156))</f>
        <v/>
      </c>
      <c r="G1156" s="14" t="str">
        <f aca="false">IF(F1156="","",F1156-E1156)</f>
        <v/>
      </c>
      <c r="H1156" s="14" t="str">
        <f aca="false">IF(F1156="","",IFERROR(F1156-F1155-(E1156-E1155),0))</f>
        <v/>
      </c>
    </row>
    <row r="1157" customFormat="false" ht="15" hidden="false" customHeight="false" outlineLevel="0" collapsed="false">
      <c r="A1157" s="13" t="str">
        <f aca="false">IF(Prices!A1157="","",Prices!A1157)</f>
        <v/>
      </c>
      <c r="B1157" s="14" t="str">
        <f aca="false">IF(A1157="","",Prices!C1157)</f>
        <v/>
      </c>
      <c r="C1157" s="15" t="str">
        <f aca="false">IF(A1157="","",IFERROR(INDEX(FX!$B:$B,MATCH(A1157,FX!$A:$A,1)),""))</f>
        <v/>
      </c>
      <c r="D1157" s="14" t="str">
        <f aca="false">IF(A1157="","",SUMIFS(Transactions!$D:$D,Transactions!$A:$A,"&lt;="&amp;A1157,Transactions!$B:$B,Settings!$B$1))</f>
        <v/>
      </c>
      <c r="E1157" s="14" t="str">
        <f aca="false">IF(A1157="","",SUMIFS(Transactions!$C:$C,Transactions!$A:$A,"&lt;="&amp;A1157,Transactions!$B:$B,Settings!$B$1)+SUMIFS(Transactions!$F:$F,Transactions!$A:$A,"&lt;="&amp;A1157,Transactions!$B:$B,Settings!$B$1))</f>
        <v/>
      </c>
      <c r="F1157" s="14" t="str">
        <f aca="false">IF(A1157="","",IF(C1157="","",D1157*B1157*C1157))</f>
        <v/>
      </c>
      <c r="G1157" s="14" t="str">
        <f aca="false">IF(F1157="","",F1157-E1157)</f>
        <v/>
      </c>
      <c r="H1157" s="14" t="str">
        <f aca="false">IF(F1157="","",IFERROR(F1157-F1156-(E1157-E1156),0))</f>
        <v/>
      </c>
    </row>
    <row r="1158" customFormat="false" ht="15" hidden="false" customHeight="false" outlineLevel="0" collapsed="false">
      <c r="A1158" s="13" t="str">
        <f aca="false">IF(Prices!A1158="","",Prices!A1158)</f>
        <v/>
      </c>
      <c r="B1158" s="14" t="str">
        <f aca="false">IF(A1158="","",Prices!C1158)</f>
        <v/>
      </c>
      <c r="C1158" s="15" t="str">
        <f aca="false">IF(A1158="","",IFERROR(INDEX(FX!$B:$B,MATCH(A1158,FX!$A:$A,1)),""))</f>
        <v/>
      </c>
      <c r="D1158" s="14" t="str">
        <f aca="false">IF(A1158="","",SUMIFS(Transactions!$D:$D,Transactions!$A:$A,"&lt;="&amp;A1158,Transactions!$B:$B,Settings!$B$1))</f>
        <v/>
      </c>
      <c r="E1158" s="14" t="str">
        <f aca="false">IF(A1158="","",SUMIFS(Transactions!$C:$C,Transactions!$A:$A,"&lt;="&amp;A1158,Transactions!$B:$B,Settings!$B$1)+SUMIFS(Transactions!$F:$F,Transactions!$A:$A,"&lt;="&amp;A1158,Transactions!$B:$B,Settings!$B$1))</f>
        <v/>
      </c>
      <c r="F1158" s="14" t="str">
        <f aca="false">IF(A1158="","",IF(C1158="","",D1158*B1158*C1158))</f>
        <v/>
      </c>
      <c r="G1158" s="14" t="str">
        <f aca="false">IF(F1158="","",F1158-E1158)</f>
        <v/>
      </c>
      <c r="H1158" s="14" t="str">
        <f aca="false">IF(F1158="","",IFERROR(F1158-F1157-(E1158-E1157),0))</f>
        <v/>
      </c>
    </row>
    <row r="1159" customFormat="false" ht="15" hidden="false" customHeight="false" outlineLevel="0" collapsed="false">
      <c r="A1159" s="13" t="str">
        <f aca="false">IF(Prices!A1159="","",Prices!A1159)</f>
        <v/>
      </c>
      <c r="B1159" s="14" t="str">
        <f aca="false">IF(A1159="","",Prices!C1159)</f>
        <v/>
      </c>
      <c r="C1159" s="15" t="str">
        <f aca="false">IF(A1159="","",IFERROR(INDEX(FX!$B:$B,MATCH(A1159,FX!$A:$A,1)),""))</f>
        <v/>
      </c>
      <c r="D1159" s="14" t="str">
        <f aca="false">IF(A1159="","",SUMIFS(Transactions!$D:$D,Transactions!$A:$A,"&lt;="&amp;A1159,Transactions!$B:$B,Settings!$B$1))</f>
        <v/>
      </c>
      <c r="E1159" s="14" t="str">
        <f aca="false">IF(A1159="","",SUMIFS(Transactions!$C:$C,Transactions!$A:$A,"&lt;="&amp;A1159,Transactions!$B:$B,Settings!$B$1)+SUMIFS(Transactions!$F:$F,Transactions!$A:$A,"&lt;="&amp;A1159,Transactions!$B:$B,Settings!$B$1))</f>
        <v/>
      </c>
      <c r="F1159" s="14" t="str">
        <f aca="false">IF(A1159="","",IF(C1159="","",D1159*B1159*C1159))</f>
        <v/>
      </c>
      <c r="G1159" s="14" t="str">
        <f aca="false">IF(F1159="","",F1159-E1159)</f>
        <v/>
      </c>
      <c r="H1159" s="14" t="str">
        <f aca="false">IF(F1159="","",IFERROR(F1159-F1158-(E1159-E1158),0))</f>
        <v/>
      </c>
    </row>
    <row r="1160" customFormat="false" ht="15" hidden="false" customHeight="false" outlineLevel="0" collapsed="false">
      <c r="A1160" s="13" t="str">
        <f aca="false">IF(Prices!A1160="","",Prices!A1160)</f>
        <v/>
      </c>
      <c r="B1160" s="14" t="str">
        <f aca="false">IF(A1160="","",Prices!C1160)</f>
        <v/>
      </c>
      <c r="C1160" s="15" t="str">
        <f aca="false">IF(A1160="","",IFERROR(INDEX(FX!$B:$B,MATCH(A1160,FX!$A:$A,1)),""))</f>
        <v/>
      </c>
      <c r="D1160" s="14" t="str">
        <f aca="false">IF(A1160="","",SUMIFS(Transactions!$D:$D,Transactions!$A:$A,"&lt;="&amp;A1160,Transactions!$B:$B,Settings!$B$1))</f>
        <v/>
      </c>
      <c r="E1160" s="14" t="str">
        <f aca="false">IF(A1160="","",SUMIFS(Transactions!$C:$C,Transactions!$A:$A,"&lt;="&amp;A1160,Transactions!$B:$B,Settings!$B$1)+SUMIFS(Transactions!$F:$F,Transactions!$A:$A,"&lt;="&amp;A1160,Transactions!$B:$B,Settings!$B$1))</f>
        <v/>
      </c>
      <c r="F1160" s="14" t="str">
        <f aca="false">IF(A1160="","",IF(C1160="","",D1160*B1160*C1160))</f>
        <v/>
      </c>
      <c r="G1160" s="14" t="str">
        <f aca="false">IF(F1160="","",F1160-E1160)</f>
        <v/>
      </c>
      <c r="H1160" s="14" t="str">
        <f aca="false">IF(F1160="","",IFERROR(F1160-F1159-(E1160-E1159),0))</f>
        <v/>
      </c>
    </row>
    <row r="1161" customFormat="false" ht="15" hidden="false" customHeight="false" outlineLevel="0" collapsed="false">
      <c r="A1161" s="13" t="str">
        <f aca="false">IF(Prices!A1161="","",Prices!A1161)</f>
        <v/>
      </c>
      <c r="B1161" s="14" t="str">
        <f aca="false">IF(A1161="","",Prices!C1161)</f>
        <v/>
      </c>
      <c r="C1161" s="15" t="str">
        <f aca="false">IF(A1161="","",IFERROR(INDEX(FX!$B:$B,MATCH(A1161,FX!$A:$A,1)),""))</f>
        <v/>
      </c>
      <c r="D1161" s="14" t="str">
        <f aca="false">IF(A1161="","",SUMIFS(Transactions!$D:$D,Transactions!$A:$A,"&lt;="&amp;A1161,Transactions!$B:$B,Settings!$B$1))</f>
        <v/>
      </c>
      <c r="E1161" s="14" t="str">
        <f aca="false">IF(A1161="","",SUMIFS(Transactions!$C:$C,Transactions!$A:$A,"&lt;="&amp;A1161,Transactions!$B:$B,Settings!$B$1)+SUMIFS(Transactions!$F:$F,Transactions!$A:$A,"&lt;="&amp;A1161,Transactions!$B:$B,Settings!$B$1))</f>
        <v/>
      </c>
      <c r="F1161" s="14" t="str">
        <f aca="false">IF(A1161="","",IF(C1161="","",D1161*B1161*C1161))</f>
        <v/>
      </c>
      <c r="G1161" s="14" t="str">
        <f aca="false">IF(F1161="","",F1161-E1161)</f>
        <v/>
      </c>
      <c r="H1161" s="14" t="str">
        <f aca="false">IF(F1161="","",IFERROR(F1161-F1160-(E1161-E1160),0))</f>
        <v/>
      </c>
    </row>
    <row r="1162" customFormat="false" ht="15" hidden="false" customHeight="false" outlineLevel="0" collapsed="false">
      <c r="A1162" s="13" t="str">
        <f aca="false">IF(Prices!A1162="","",Prices!A1162)</f>
        <v/>
      </c>
      <c r="B1162" s="14" t="str">
        <f aca="false">IF(A1162="","",Prices!C1162)</f>
        <v/>
      </c>
      <c r="C1162" s="15" t="str">
        <f aca="false">IF(A1162="","",IFERROR(INDEX(FX!$B:$B,MATCH(A1162,FX!$A:$A,1)),""))</f>
        <v/>
      </c>
      <c r="D1162" s="14" t="str">
        <f aca="false">IF(A1162="","",SUMIFS(Transactions!$D:$D,Transactions!$A:$A,"&lt;="&amp;A1162,Transactions!$B:$B,Settings!$B$1))</f>
        <v/>
      </c>
      <c r="E1162" s="14" t="str">
        <f aca="false">IF(A1162="","",SUMIFS(Transactions!$C:$C,Transactions!$A:$A,"&lt;="&amp;A1162,Transactions!$B:$B,Settings!$B$1)+SUMIFS(Transactions!$F:$F,Transactions!$A:$A,"&lt;="&amp;A1162,Transactions!$B:$B,Settings!$B$1))</f>
        <v/>
      </c>
      <c r="F1162" s="14" t="str">
        <f aca="false">IF(A1162="","",IF(C1162="","",D1162*B1162*C1162))</f>
        <v/>
      </c>
      <c r="G1162" s="14" t="str">
        <f aca="false">IF(F1162="","",F1162-E1162)</f>
        <v/>
      </c>
      <c r="H1162" s="14" t="str">
        <f aca="false">IF(F1162="","",IFERROR(F1162-F1161-(E1162-E1161),0))</f>
        <v/>
      </c>
    </row>
    <row r="1163" customFormat="false" ht="15" hidden="false" customHeight="false" outlineLevel="0" collapsed="false">
      <c r="A1163" s="13" t="str">
        <f aca="false">IF(Prices!A1163="","",Prices!A1163)</f>
        <v/>
      </c>
      <c r="B1163" s="14" t="str">
        <f aca="false">IF(A1163="","",Prices!C1163)</f>
        <v/>
      </c>
      <c r="C1163" s="15" t="str">
        <f aca="false">IF(A1163="","",IFERROR(INDEX(FX!$B:$B,MATCH(A1163,FX!$A:$A,1)),""))</f>
        <v/>
      </c>
      <c r="D1163" s="14" t="str">
        <f aca="false">IF(A1163="","",SUMIFS(Transactions!$D:$D,Transactions!$A:$A,"&lt;="&amp;A1163,Transactions!$B:$B,Settings!$B$1))</f>
        <v/>
      </c>
      <c r="E1163" s="14" t="str">
        <f aca="false">IF(A1163="","",SUMIFS(Transactions!$C:$C,Transactions!$A:$A,"&lt;="&amp;A1163,Transactions!$B:$B,Settings!$B$1)+SUMIFS(Transactions!$F:$F,Transactions!$A:$A,"&lt;="&amp;A1163,Transactions!$B:$B,Settings!$B$1))</f>
        <v/>
      </c>
      <c r="F1163" s="14" t="str">
        <f aca="false">IF(A1163="","",IF(C1163="","",D1163*B1163*C1163))</f>
        <v/>
      </c>
      <c r="G1163" s="14" t="str">
        <f aca="false">IF(F1163="","",F1163-E1163)</f>
        <v/>
      </c>
      <c r="H1163" s="14" t="str">
        <f aca="false">IF(F1163="","",IFERROR(F1163-F1162-(E1163-E1162),0))</f>
        <v/>
      </c>
    </row>
    <row r="1164" customFormat="false" ht="15" hidden="false" customHeight="false" outlineLevel="0" collapsed="false">
      <c r="A1164" s="13" t="str">
        <f aca="false">IF(Prices!A1164="","",Prices!A1164)</f>
        <v/>
      </c>
      <c r="B1164" s="14" t="str">
        <f aca="false">IF(A1164="","",Prices!C1164)</f>
        <v/>
      </c>
      <c r="C1164" s="15" t="str">
        <f aca="false">IF(A1164="","",IFERROR(INDEX(FX!$B:$B,MATCH(A1164,FX!$A:$A,1)),""))</f>
        <v/>
      </c>
      <c r="D1164" s="14" t="str">
        <f aca="false">IF(A1164="","",SUMIFS(Transactions!$D:$D,Transactions!$A:$A,"&lt;="&amp;A1164,Transactions!$B:$B,Settings!$B$1))</f>
        <v/>
      </c>
      <c r="E1164" s="14" t="str">
        <f aca="false">IF(A1164="","",SUMIFS(Transactions!$C:$C,Transactions!$A:$A,"&lt;="&amp;A1164,Transactions!$B:$B,Settings!$B$1)+SUMIFS(Transactions!$F:$F,Transactions!$A:$A,"&lt;="&amp;A1164,Transactions!$B:$B,Settings!$B$1))</f>
        <v/>
      </c>
      <c r="F1164" s="14" t="str">
        <f aca="false">IF(A1164="","",IF(C1164="","",D1164*B1164*C1164))</f>
        <v/>
      </c>
      <c r="G1164" s="14" t="str">
        <f aca="false">IF(F1164="","",F1164-E1164)</f>
        <v/>
      </c>
      <c r="H1164" s="14" t="str">
        <f aca="false">IF(F1164="","",IFERROR(F1164-F1163-(E1164-E1163),0))</f>
        <v/>
      </c>
    </row>
    <row r="1165" customFormat="false" ht="15" hidden="false" customHeight="false" outlineLevel="0" collapsed="false">
      <c r="A1165" s="13" t="str">
        <f aca="false">IF(Prices!A1165="","",Prices!A1165)</f>
        <v/>
      </c>
      <c r="B1165" s="14" t="str">
        <f aca="false">IF(A1165="","",Prices!C1165)</f>
        <v/>
      </c>
      <c r="C1165" s="15" t="str">
        <f aca="false">IF(A1165="","",IFERROR(INDEX(FX!$B:$B,MATCH(A1165,FX!$A:$A,1)),""))</f>
        <v/>
      </c>
      <c r="D1165" s="14" t="str">
        <f aca="false">IF(A1165="","",SUMIFS(Transactions!$D:$D,Transactions!$A:$A,"&lt;="&amp;A1165,Transactions!$B:$B,Settings!$B$1))</f>
        <v/>
      </c>
      <c r="E1165" s="14" t="str">
        <f aca="false">IF(A1165="","",SUMIFS(Transactions!$C:$C,Transactions!$A:$A,"&lt;="&amp;A1165,Transactions!$B:$B,Settings!$B$1)+SUMIFS(Transactions!$F:$F,Transactions!$A:$A,"&lt;="&amp;A1165,Transactions!$B:$B,Settings!$B$1))</f>
        <v/>
      </c>
      <c r="F1165" s="14" t="str">
        <f aca="false">IF(A1165="","",IF(C1165="","",D1165*B1165*C1165))</f>
        <v/>
      </c>
      <c r="G1165" s="14" t="str">
        <f aca="false">IF(F1165="","",F1165-E1165)</f>
        <v/>
      </c>
      <c r="H1165" s="14" t="str">
        <f aca="false">IF(F1165="","",IFERROR(F1165-F1164-(E1165-E1164),0))</f>
        <v/>
      </c>
    </row>
    <row r="1166" customFormat="false" ht="15" hidden="false" customHeight="false" outlineLevel="0" collapsed="false">
      <c r="A1166" s="13" t="str">
        <f aca="false">IF(Prices!A1166="","",Prices!A1166)</f>
        <v/>
      </c>
      <c r="B1166" s="14" t="str">
        <f aca="false">IF(A1166="","",Prices!C1166)</f>
        <v/>
      </c>
      <c r="C1166" s="15" t="str">
        <f aca="false">IF(A1166="","",IFERROR(INDEX(FX!$B:$B,MATCH(A1166,FX!$A:$A,1)),""))</f>
        <v/>
      </c>
      <c r="D1166" s="14" t="str">
        <f aca="false">IF(A1166="","",SUMIFS(Transactions!$D:$D,Transactions!$A:$A,"&lt;="&amp;A1166,Transactions!$B:$B,Settings!$B$1))</f>
        <v/>
      </c>
      <c r="E1166" s="14" t="str">
        <f aca="false">IF(A1166="","",SUMIFS(Transactions!$C:$C,Transactions!$A:$A,"&lt;="&amp;A1166,Transactions!$B:$B,Settings!$B$1)+SUMIFS(Transactions!$F:$F,Transactions!$A:$A,"&lt;="&amp;A1166,Transactions!$B:$B,Settings!$B$1))</f>
        <v/>
      </c>
      <c r="F1166" s="14" t="str">
        <f aca="false">IF(A1166="","",IF(C1166="","",D1166*B1166*C1166))</f>
        <v/>
      </c>
      <c r="G1166" s="14" t="str">
        <f aca="false">IF(F1166="","",F1166-E1166)</f>
        <v/>
      </c>
      <c r="H1166" s="14" t="str">
        <f aca="false">IF(F1166="","",IFERROR(F1166-F1165-(E1166-E1165),0))</f>
        <v/>
      </c>
    </row>
    <row r="1167" customFormat="false" ht="15" hidden="false" customHeight="false" outlineLevel="0" collapsed="false">
      <c r="A1167" s="13" t="str">
        <f aca="false">IF(Prices!A1167="","",Prices!A1167)</f>
        <v/>
      </c>
      <c r="B1167" s="14" t="str">
        <f aca="false">IF(A1167="","",Prices!C1167)</f>
        <v/>
      </c>
      <c r="C1167" s="15" t="str">
        <f aca="false">IF(A1167="","",IFERROR(INDEX(FX!$B:$B,MATCH(A1167,FX!$A:$A,1)),""))</f>
        <v/>
      </c>
      <c r="D1167" s="14" t="str">
        <f aca="false">IF(A1167="","",SUMIFS(Transactions!$D:$D,Transactions!$A:$A,"&lt;="&amp;A1167,Transactions!$B:$B,Settings!$B$1))</f>
        <v/>
      </c>
      <c r="E1167" s="14" t="str">
        <f aca="false">IF(A1167="","",SUMIFS(Transactions!$C:$C,Transactions!$A:$A,"&lt;="&amp;A1167,Transactions!$B:$B,Settings!$B$1)+SUMIFS(Transactions!$F:$F,Transactions!$A:$A,"&lt;="&amp;A1167,Transactions!$B:$B,Settings!$B$1))</f>
        <v/>
      </c>
      <c r="F1167" s="14" t="str">
        <f aca="false">IF(A1167="","",IF(C1167="","",D1167*B1167*C1167))</f>
        <v/>
      </c>
      <c r="G1167" s="14" t="str">
        <f aca="false">IF(F1167="","",F1167-E1167)</f>
        <v/>
      </c>
      <c r="H1167" s="14" t="str">
        <f aca="false">IF(F1167="","",IFERROR(F1167-F1166-(E1167-E1166),0))</f>
        <v/>
      </c>
    </row>
    <row r="1168" customFormat="false" ht="15" hidden="false" customHeight="false" outlineLevel="0" collapsed="false">
      <c r="A1168" s="13" t="str">
        <f aca="false">IF(Prices!A1168="","",Prices!A1168)</f>
        <v/>
      </c>
      <c r="B1168" s="14" t="str">
        <f aca="false">IF(A1168="","",Prices!C1168)</f>
        <v/>
      </c>
      <c r="C1168" s="15" t="str">
        <f aca="false">IF(A1168="","",IFERROR(INDEX(FX!$B:$B,MATCH(A1168,FX!$A:$A,1)),""))</f>
        <v/>
      </c>
      <c r="D1168" s="14" t="str">
        <f aca="false">IF(A1168="","",SUMIFS(Transactions!$D:$D,Transactions!$A:$A,"&lt;="&amp;A1168,Transactions!$B:$B,Settings!$B$1))</f>
        <v/>
      </c>
      <c r="E1168" s="14" t="str">
        <f aca="false">IF(A1168="","",SUMIFS(Transactions!$C:$C,Transactions!$A:$A,"&lt;="&amp;A1168,Transactions!$B:$B,Settings!$B$1)+SUMIFS(Transactions!$F:$F,Transactions!$A:$A,"&lt;="&amp;A1168,Transactions!$B:$B,Settings!$B$1))</f>
        <v/>
      </c>
      <c r="F1168" s="14" t="str">
        <f aca="false">IF(A1168="","",IF(C1168="","",D1168*B1168*C1168))</f>
        <v/>
      </c>
      <c r="G1168" s="14" t="str">
        <f aca="false">IF(F1168="","",F1168-E1168)</f>
        <v/>
      </c>
      <c r="H1168" s="14" t="str">
        <f aca="false">IF(F1168="","",IFERROR(F1168-F1167-(E1168-E1167),0))</f>
        <v/>
      </c>
    </row>
    <row r="1169" customFormat="false" ht="15" hidden="false" customHeight="false" outlineLevel="0" collapsed="false">
      <c r="A1169" s="13" t="str">
        <f aca="false">IF(Prices!A1169="","",Prices!A1169)</f>
        <v/>
      </c>
      <c r="B1169" s="14" t="str">
        <f aca="false">IF(A1169="","",Prices!C1169)</f>
        <v/>
      </c>
      <c r="C1169" s="15" t="str">
        <f aca="false">IF(A1169="","",IFERROR(INDEX(FX!$B:$B,MATCH(A1169,FX!$A:$A,1)),""))</f>
        <v/>
      </c>
      <c r="D1169" s="14" t="str">
        <f aca="false">IF(A1169="","",SUMIFS(Transactions!$D:$D,Transactions!$A:$A,"&lt;="&amp;A1169,Transactions!$B:$B,Settings!$B$1))</f>
        <v/>
      </c>
      <c r="E1169" s="14" t="str">
        <f aca="false">IF(A1169="","",SUMIFS(Transactions!$C:$C,Transactions!$A:$A,"&lt;="&amp;A1169,Transactions!$B:$B,Settings!$B$1)+SUMIFS(Transactions!$F:$F,Transactions!$A:$A,"&lt;="&amp;A1169,Transactions!$B:$B,Settings!$B$1))</f>
        <v/>
      </c>
      <c r="F1169" s="14" t="str">
        <f aca="false">IF(A1169="","",IF(C1169="","",D1169*B1169*C1169))</f>
        <v/>
      </c>
      <c r="G1169" s="14" t="str">
        <f aca="false">IF(F1169="","",F1169-E1169)</f>
        <v/>
      </c>
      <c r="H1169" s="14" t="str">
        <f aca="false">IF(F1169="","",IFERROR(F1169-F1168-(E1169-E1168),0))</f>
        <v/>
      </c>
    </row>
    <row r="1170" customFormat="false" ht="15" hidden="false" customHeight="false" outlineLevel="0" collapsed="false">
      <c r="A1170" s="13" t="str">
        <f aca="false">IF(Prices!A1170="","",Prices!A1170)</f>
        <v/>
      </c>
      <c r="B1170" s="14" t="str">
        <f aca="false">IF(A1170="","",Prices!C1170)</f>
        <v/>
      </c>
      <c r="C1170" s="15" t="str">
        <f aca="false">IF(A1170="","",IFERROR(INDEX(FX!$B:$B,MATCH(A1170,FX!$A:$A,1)),""))</f>
        <v/>
      </c>
      <c r="D1170" s="14" t="str">
        <f aca="false">IF(A1170="","",SUMIFS(Transactions!$D:$D,Transactions!$A:$A,"&lt;="&amp;A1170,Transactions!$B:$B,Settings!$B$1))</f>
        <v/>
      </c>
      <c r="E1170" s="14" t="str">
        <f aca="false">IF(A1170="","",SUMIFS(Transactions!$C:$C,Transactions!$A:$A,"&lt;="&amp;A1170,Transactions!$B:$B,Settings!$B$1)+SUMIFS(Transactions!$F:$F,Transactions!$A:$A,"&lt;="&amp;A1170,Transactions!$B:$B,Settings!$B$1))</f>
        <v/>
      </c>
      <c r="F1170" s="14" t="str">
        <f aca="false">IF(A1170="","",IF(C1170="","",D1170*B1170*C1170))</f>
        <v/>
      </c>
      <c r="G1170" s="14" t="str">
        <f aca="false">IF(F1170="","",F1170-E1170)</f>
        <v/>
      </c>
      <c r="H1170" s="14" t="str">
        <f aca="false">IF(F1170="","",IFERROR(F1170-F1169-(E1170-E1169),0))</f>
        <v/>
      </c>
    </row>
    <row r="1171" customFormat="false" ht="15" hidden="false" customHeight="false" outlineLevel="0" collapsed="false">
      <c r="A1171" s="13" t="str">
        <f aca="false">IF(Prices!A1171="","",Prices!A1171)</f>
        <v/>
      </c>
      <c r="B1171" s="14" t="str">
        <f aca="false">IF(A1171="","",Prices!C1171)</f>
        <v/>
      </c>
      <c r="C1171" s="15" t="str">
        <f aca="false">IF(A1171="","",IFERROR(INDEX(FX!$B:$B,MATCH(A1171,FX!$A:$A,1)),""))</f>
        <v/>
      </c>
      <c r="D1171" s="14" t="str">
        <f aca="false">IF(A1171="","",SUMIFS(Transactions!$D:$D,Transactions!$A:$A,"&lt;="&amp;A1171,Transactions!$B:$B,Settings!$B$1))</f>
        <v/>
      </c>
      <c r="E1171" s="14" t="str">
        <f aca="false">IF(A1171="","",SUMIFS(Transactions!$C:$C,Transactions!$A:$A,"&lt;="&amp;A1171,Transactions!$B:$B,Settings!$B$1)+SUMIFS(Transactions!$F:$F,Transactions!$A:$A,"&lt;="&amp;A1171,Transactions!$B:$B,Settings!$B$1))</f>
        <v/>
      </c>
      <c r="F1171" s="14" t="str">
        <f aca="false">IF(A1171="","",IF(C1171="","",D1171*B1171*C1171))</f>
        <v/>
      </c>
      <c r="G1171" s="14" t="str">
        <f aca="false">IF(F1171="","",F1171-E1171)</f>
        <v/>
      </c>
      <c r="H1171" s="14" t="str">
        <f aca="false">IF(F1171="","",IFERROR(F1171-F1170-(E1171-E1170),0))</f>
        <v/>
      </c>
    </row>
    <row r="1172" customFormat="false" ht="15" hidden="false" customHeight="false" outlineLevel="0" collapsed="false">
      <c r="A1172" s="13" t="str">
        <f aca="false">IF(Prices!A1172="","",Prices!A1172)</f>
        <v/>
      </c>
      <c r="B1172" s="14" t="str">
        <f aca="false">IF(A1172="","",Prices!C1172)</f>
        <v/>
      </c>
      <c r="C1172" s="15" t="str">
        <f aca="false">IF(A1172="","",IFERROR(INDEX(FX!$B:$B,MATCH(A1172,FX!$A:$A,1)),""))</f>
        <v/>
      </c>
      <c r="D1172" s="14" t="str">
        <f aca="false">IF(A1172="","",SUMIFS(Transactions!$D:$D,Transactions!$A:$A,"&lt;="&amp;A1172,Transactions!$B:$B,Settings!$B$1))</f>
        <v/>
      </c>
      <c r="E1172" s="14" t="str">
        <f aca="false">IF(A1172="","",SUMIFS(Transactions!$C:$C,Transactions!$A:$A,"&lt;="&amp;A1172,Transactions!$B:$B,Settings!$B$1)+SUMIFS(Transactions!$F:$F,Transactions!$A:$A,"&lt;="&amp;A1172,Transactions!$B:$B,Settings!$B$1))</f>
        <v/>
      </c>
      <c r="F1172" s="14" t="str">
        <f aca="false">IF(A1172="","",IF(C1172="","",D1172*B1172*C1172))</f>
        <v/>
      </c>
      <c r="G1172" s="14" t="str">
        <f aca="false">IF(F1172="","",F1172-E1172)</f>
        <v/>
      </c>
      <c r="H1172" s="14" t="str">
        <f aca="false">IF(F1172="","",IFERROR(F1172-F1171-(E1172-E1171),0))</f>
        <v/>
      </c>
    </row>
    <row r="1173" customFormat="false" ht="15" hidden="false" customHeight="false" outlineLevel="0" collapsed="false">
      <c r="A1173" s="13" t="str">
        <f aca="false">IF(Prices!A1173="","",Prices!A1173)</f>
        <v/>
      </c>
      <c r="B1173" s="14" t="str">
        <f aca="false">IF(A1173="","",Prices!C1173)</f>
        <v/>
      </c>
      <c r="C1173" s="15" t="str">
        <f aca="false">IF(A1173="","",IFERROR(INDEX(FX!$B:$B,MATCH(A1173,FX!$A:$A,1)),""))</f>
        <v/>
      </c>
      <c r="D1173" s="14" t="str">
        <f aca="false">IF(A1173="","",SUMIFS(Transactions!$D:$D,Transactions!$A:$A,"&lt;="&amp;A1173,Transactions!$B:$B,Settings!$B$1))</f>
        <v/>
      </c>
      <c r="E1173" s="14" t="str">
        <f aca="false">IF(A1173="","",SUMIFS(Transactions!$C:$C,Transactions!$A:$A,"&lt;="&amp;A1173,Transactions!$B:$B,Settings!$B$1)+SUMIFS(Transactions!$F:$F,Transactions!$A:$A,"&lt;="&amp;A1173,Transactions!$B:$B,Settings!$B$1))</f>
        <v/>
      </c>
      <c r="F1173" s="14" t="str">
        <f aca="false">IF(A1173="","",IF(C1173="","",D1173*B1173*C1173))</f>
        <v/>
      </c>
      <c r="G1173" s="14" t="str">
        <f aca="false">IF(F1173="","",F1173-E1173)</f>
        <v/>
      </c>
      <c r="H1173" s="14" t="str">
        <f aca="false">IF(F1173="","",IFERROR(F1173-F1172-(E1173-E1172),0))</f>
        <v/>
      </c>
    </row>
    <row r="1174" customFormat="false" ht="15" hidden="false" customHeight="false" outlineLevel="0" collapsed="false">
      <c r="A1174" s="13" t="str">
        <f aca="false">IF(Prices!A1174="","",Prices!A1174)</f>
        <v/>
      </c>
      <c r="B1174" s="14" t="str">
        <f aca="false">IF(A1174="","",Prices!C1174)</f>
        <v/>
      </c>
      <c r="C1174" s="15" t="str">
        <f aca="false">IF(A1174="","",IFERROR(INDEX(FX!$B:$B,MATCH(A1174,FX!$A:$A,1)),""))</f>
        <v/>
      </c>
      <c r="D1174" s="14" t="str">
        <f aca="false">IF(A1174="","",SUMIFS(Transactions!$D:$D,Transactions!$A:$A,"&lt;="&amp;A1174,Transactions!$B:$B,Settings!$B$1))</f>
        <v/>
      </c>
      <c r="E1174" s="14" t="str">
        <f aca="false">IF(A1174="","",SUMIFS(Transactions!$C:$C,Transactions!$A:$A,"&lt;="&amp;A1174,Transactions!$B:$B,Settings!$B$1)+SUMIFS(Transactions!$F:$F,Transactions!$A:$A,"&lt;="&amp;A1174,Transactions!$B:$B,Settings!$B$1))</f>
        <v/>
      </c>
      <c r="F1174" s="14" t="str">
        <f aca="false">IF(A1174="","",IF(C1174="","",D1174*B1174*C1174))</f>
        <v/>
      </c>
      <c r="G1174" s="14" t="str">
        <f aca="false">IF(F1174="","",F1174-E1174)</f>
        <v/>
      </c>
      <c r="H1174" s="14" t="str">
        <f aca="false">IF(F1174="","",IFERROR(F1174-F1173-(E1174-E1173),0))</f>
        <v/>
      </c>
    </row>
    <row r="1175" customFormat="false" ht="15" hidden="false" customHeight="false" outlineLevel="0" collapsed="false">
      <c r="A1175" s="13" t="str">
        <f aca="false">IF(Prices!A1175="","",Prices!A1175)</f>
        <v/>
      </c>
      <c r="B1175" s="14" t="str">
        <f aca="false">IF(A1175="","",Prices!C1175)</f>
        <v/>
      </c>
      <c r="C1175" s="15" t="str">
        <f aca="false">IF(A1175="","",IFERROR(INDEX(FX!$B:$B,MATCH(A1175,FX!$A:$A,1)),""))</f>
        <v/>
      </c>
      <c r="D1175" s="14" t="str">
        <f aca="false">IF(A1175="","",SUMIFS(Transactions!$D:$D,Transactions!$A:$A,"&lt;="&amp;A1175,Transactions!$B:$B,Settings!$B$1))</f>
        <v/>
      </c>
      <c r="E1175" s="14" t="str">
        <f aca="false">IF(A1175="","",SUMIFS(Transactions!$C:$C,Transactions!$A:$A,"&lt;="&amp;A1175,Transactions!$B:$B,Settings!$B$1)+SUMIFS(Transactions!$F:$F,Transactions!$A:$A,"&lt;="&amp;A1175,Transactions!$B:$B,Settings!$B$1))</f>
        <v/>
      </c>
      <c r="F1175" s="14" t="str">
        <f aca="false">IF(A1175="","",IF(C1175="","",D1175*B1175*C1175))</f>
        <v/>
      </c>
      <c r="G1175" s="14" t="str">
        <f aca="false">IF(F1175="","",F1175-E1175)</f>
        <v/>
      </c>
      <c r="H1175" s="14" t="str">
        <f aca="false">IF(F1175="","",IFERROR(F1175-F1174-(E1175-E1174),0))</f>
        <v/>
      </c>
    </row>
    <row r="1176" customFormat="false" ht="15" hidden="false" customHeight="false" outlineLevel="0" collapsed="false">
      <c r="A1176" s="13" t="str">
        <f aca="false">IF(Prices!A1176="","",Prices!A1176)</f>
        <v/>
      </c>
      <c r="B1176" s="14" t="str">
        <f aca="false">IF(A1176="","",Prices!C1176)</f>
        <v/>
      </c>
      <c r="C1176" s="15" t="str">
        <f aca="false">IF(A1176="","",IFERROR(INDEX(FX!$B:$B,MATCH(A1176,FX!$A:$A,1)),""))</f>
        <v/>
      </c>
      <c r="D1176" s="14" t="str">
        <f aca="false">IF(A1176="","",SUMIFS(Transactions!$D:$D,Transactions!$A:$A,"&lt;="&amp;A1176,Transactions!$B:$B,Settings!$B$1))</f>
        <v/>
      </c>
      <c r="E1176" s="14" t="str">
        <f aca="false">IF(A1176="","",SUMIFS(Transactions!$C:$C,Transactions!$A:$A,"&lt;="&amp;A1176,Transactions!$B:$B,Settings!$B$1)+SUMIFS(Transactions!$F:$F,Transactions!$A:$A,"&lt;="&amp;A1176,Transactions!$B:$B,Settings!$B$1))</f>
        <v/>
      </c>
      <c r="F1176" s="14" t="str">
        <f aca="false">IF(A1176="","",IF(C1176="","",D1176*B1176*C1176))</f>
        <v/>
      </c>
      <c r="G1176" s="14" t="str">
        <f aca="false">IF(F1176="","",F1176-E1176)</f>
        <v/>
      </c>
      <c r="H1176" s="14" t="str">
        <f aca="false">IF(F1176="","",IFERROR(F1176-F1175-(E1176-E1175),0))</f>
        <v/>
      </c>
    </row>
    <row r="1177" customFormat="false" ht="15" hidden="false" customHeight="false" outlineLevel="0" collapsed="false">
      <c r="A1177" s="13" t="str">
        <f aca="false">IF(Prices!A1177="","",Prices!A1177)</f>
        <v/>
      </c>
      <c r="B1177" s="14" t="str">
        <f aca="false">IF(A1177="","",Prices!C1177)</f>
        <v/>
      </c>
      <c r="C1177" s="15" t="str">
        <f aca="false">IF(A1177="","",IFERROR(INDEX(FX!$B:$B,MATCH(A1177,FX!$A:$A,1)),""))</f>
        <v/>
      </c>
      <c r="D1177" s="14" t="str">
        <f aca="false">IF(A1177="","",SUMIFS(Transactions!$D:$D,Transactions!$A:$A,"&lt;="&amp;A1177,Transactions!$B:$B,Settings!$B$1))</f>
        <v/>
      </c>
      <c r="E1177" s="14" t="str">
        <f aca="false">IF(A1177="","",SUMIFS(Transactions!$C:$C,Transactions!$A:$A,"&lt;="&amp;A1177,Transactions!$B:$B,Settings!$B$1)+SUMIFS(Transactions!$F:$F,Transactions!$A:$A,"&lt;="&amp;A1177,Transactions!$B:$B,Settings!$B$1))</f>
        <v/>
      </c>
      <c r="F1177" s="14" t="str">
        <f aca="false">IF(A1177="","",IF(C1177="","",D1177*B1177*C1177))</f>
        <v/>
      </c>
      <c r="G1177" s="14" t="str">
        <f aca="false">IF(F1177="","",F1177-E1177)</f>
        <v/>
      </c>
      <c r="H1177" s="14" t="str">
        <f aca="false">IF(F1177="","",IFERROR(F1177-F1176-(E1177-E1176),0))</f>
        <v/>
      </c>
    </row>
    <row r="1178" customFormat="false" ht="15" hidden="false" customHeight="false" outlineLevel="0" collapsed="false">
      <c r="A1178" s="13" t="str">
        <f aca="false">IF(Prices!A1178="","",Prices!A1178)</f>
        <v/>
      </c>
      <c r="B1178" s="14" t="str">
        <f aca="false">IF(A1178="","",Prices!C1178)</f>
        <v/>
      </c>
      <c r="C1178" s="15" t="str">
        <f aca="false">IF(A1178="","",IFERROR(INDEX(FX!$B:$B,MATCH(A1178,FX!$A:$A,1)),""))</f>
        <v/>
      </c>
      <c r="D1178" s="14" t="str">
        <f aca="false">IF(A1178="","",SUMIFS(Transactions!$D:$D,Transactions!$A:$A,"&lt;="&amp;A1178,Transactions!$B:$B,Settings!$B$1))</f>
        <v/>
      </c>
      <c r="E1178" s="14" t="str">
        <f aca="false">IF(A1178="","",SUMIFS(Transactions!$C:$C,Transactions!$A:$A,"&lt;="&amp;A1178,Transactions!$B:$B,Settings!$B$1)+SUMIFS(Transactions!$F:$F,Transactions!$A:$A,"&lt;="&amp;A1178,Transactions!$B:$B,Settings!$B$1))</f>
        <v/>
      </c>
      <c r="F1178" s="14" t="str">
        <f aca="false">IF(A1178="","",IF(C1178="","",D1178*B1178*C1178))</f>
        <v/>
      </c>
      <c r="G1178" s="14" t="str">
        <f aca="false">IF(F1178="","",F1178-E1178)</f>
        <v/>
      </c>
      <c r="H1178" s="14" t="str">
        <f aca="false">IF(F1178="","",IFERROR(F1178-F1177-(E1178-E1177),0))</f>
        <v/>
      </c>
    </row>
    <row r="1179" customFormat="false" ht="15" hidden="false" customHeight="false" outlineLevel="0" collapsed="false">
      <c r="A1179" s="13" t="str">
        <f aca="false">IF(Prices!A1179="","",Prices!A1179)</f>
        <v/>
      </c>
      <c r="B1179" s="14" t="str">
        <f aca="false">IF(A1179="","",Prices!C1179)</f>
        <v/>
      </c>
      <c r="C1179" s="15" t="str">
        <f aca="false">IF(A1179="","",IFERROR(INDEX(FX!$B:$B,MATCH(A1179,FX!$A:$A,1)),""))</f>
        <v/>
      </c>
      <c r="D1179" s="14" t="str">
        <f aca="false">IF(A1179="","",SUMIFS(Transactions!$D:$D,Transactions!$A:$A,"&lt;="&amp;A1179,Transactions!$B:$B,Settings!$B$1))</f>
        <v/>
      </c>
      <c r="E1179" s="14" t="str">
        <f aca="false">IF(A1179="","",SUMIFS(Transactions!$C:$C,Transactions!$A:$A,"&lt;="&amp;A1179,Transactions!$B:$B,Settings!$B$1)+SUMIFS(Transactions!$F:$F,Transactions!$A:$A,"&lt;="&amp;A1179,Transactions!$B:$B,Settings!$B$1))</f>
        <v/>
      </c>
      <c r="F1179" s="14" t="str">
        <f aca="false">IF(A1179="","",IF(C1179="","",D1179*B1179*C1179))</f>
        <v/>
      </c>
      <c r="G1179" s="14" t="str">
        <f aca="false">IF(F1179="","",F1179-E1179)</f>
        <v/>
      </c>
      <c r="H1179" s="14" t="str">
        <f aca="false">IF(F1179="","",IFERROR(F1179-F1178-(E1179-E1178),0))</f>
        <v/>
      </c>
    </row>
    <row r="1180" customFormat="false" ht="15" hidden="false" customHeight="false" outlineLevel="0" collapsed="false">
      <c r="A1180" s="13" t="str">
        <f aca="false">IF(Prices!A1180="","",Prices!A1180)</f>
        <v/>
      </c>
      <c r="B1180" s="14" t="str">
        <f aca="false">IF(A1180="","",Prices!C1180)</f>
        <v/>
      </c>
      <c r="C1180" s="15" t="str">
        <f aca="false">IF(A1180="","",IFERROR(INDEX(FX!$B:$B,MATCH(A1180,FX!$A:$A,1)),""))</f>
        <v/>
      </c>
      <c r="D1180" s="14" t="str">
        <f aca="false">IF(A1180="","",SUMIFS(Transactions!$D:$D,Transactions!$A:$A,"&lt;="&amp;A1180,Transactions!$B:$B,Settings!$B$1))</f>
        <v/>
      </c>
      <c r="E1180" s="14" t="str">
        <f aca="false">IF(A1180="","",SUMIFS(Transactions!$C:$C,Transactions!$A:$A,"&lt;="&amp;A1180,Transactions!$B:$B,Settings!$B$1)+SUMIFS(Transactions!$F:$F,Transactions!$A:$A,"&lt;="&amp;A1180,Transactions!$B:$B,Settings!$B$1))</f>
        <v/>
      </c>
      <c r="F1180" s="14" t="str">
        <f aca="false">IF(A1180="","",IF(C1180="","",D1180*B1180*C1180))</f>
        <v/>
      </c>
      <c r="G1180" s="14" t="str">
        <f aca="false">IF(F1180="","",F1180-E1180)</f>
        <v/>
      </c>
      <c r="H1180" s="14" t="str">
        <f aca="false">IF(F1180="","",IFERROR(F1180-F1179-(E1180-E1179),0))</f>
        <v/>
      </c>
    </row>
    <row r="1181" customFormat="false" ht="15" hidden="false" customHeight="false" outlineLevel="0" collapsed="false">
      <c r="A1181" s="13" t="str">
        <f aca="false">IF(Prices!A1181="","",Prices!A1181)</f>
        <v/>
      </c>
      <c r="B1181" s="14" t="str">
        <f aca="false">IF(A1181="","",Prices!C1181)</f>
        <v/>
      </c>
      <c r="C1181" s="15" t="str">
        <f aca="false">IF(A1181="","",IFERROR(INDEX(FX!$B:$B,MATCH(A1181,FX!$A:$A,1)),""))</f>
        <v/>
      </c>
      <c r="D1181" s="14" t="str">
        <f aca="false">IF(A1181="","",SUMIFS(Transactions!$D:$D,Transactions!$A:$A,"&lt;="&amp;A1181,Transactions!$B:$B,Settings!$B$1))</f>
        <v/>
      </c>
      <c r="E1181" s="14" t="str">
        <f aca="false">IF(A1181="","",SUMIFS(Transactions!$C:$C,Transactions!$A:$A,"&lt;="&amp;A1181,Transactions!$B:$B,Settings!$B$1)+SUMIFS(Transactions!$F:$F,Transactions!$A:$A,"&lt;="&amp;A1181,Transactions!$B:$B,Settings!$B$1))</f>
        <v/>
      </c>
      <c r="F1181" s="14" t="str">
        <f aca="false">IF(A1181="","",IF(C1181="","",D1181*B1181*C1181))</f>
        <v/>
      </c>
      <c r="G1181" s="14" t="str">
        <f aca="false">IF(F1181="","",F1181-E1181)</f>
        <v/>
      </c>
      <c r="H1181" s="14" t="str">
        <f aca="false">IF(F1181="","",IFERROR(F1181-F1180-(E1181-E1180),0))</f>
        <v/>
      </c>
    </row>
    <row r="1182" customFormat="false" ht="15" hidden="false" customHeight="false" outlineLevel="0" collapsed="false">
      <c r="A1182" s="13" t="str">
        <f aca="false">IF(Prices!A1182="","",Prices!A1182)</f>
        <v/>
      </c>
      <c r="B1182" s="14" t="str">
        <f aca="false">IF(A1182="","",Prices!C1182)</f>
        <v/>
      </c>
      <c r="C1182" s="15" t="str">
        <f aca="false">IF(A1182="","",IFERROR(INDEX(FX!$B:$B,MATCH(A1182,FX!$A:$A,1)),""))</f>
        <v/>
      </c>
      <c r="D1182" s="14" t="str">
        <f aca="false">IF(A1182="","",SUMIFS(Transactions!$D:$D,Transactions!$A:$A,"&lt;="&amp;A1182,Transactions!$B:$B,Settings!$B$1))</f>
        <v/>
      </c>
      <c r="E1182" s="14" t="str">
        <f aca="false">IF(A1182="","",SUMIFS(Transactions!$C:$C,Transactions!$A:$A,"&lt;="&amp;A1182,Transactions!$B:$B,Settings!$B$1)+SUMIFS(Transactions!$F:$F,Transactions!$A:$A,"&lt;="&amp;A1182,Transactions!$B:$B,Settings!$B$1))</f>
        <v/>
      </c>
      <c r="F1182" s="14" t="str">
        <f aca="false">IF(A1182="","",IF(C1182="","",D1182*B1182*C1182))</f>
        <v/>
      </c>
      <c r="G1182" s="14" t="str">
        <f aca="false">IF(F1182="","",F1182-E1182)</f>
        <v/>
      </c>
      <c r="H1182" s="14" t="str">
        <f aca="false">IF(F1182="","",IFERROR(F1182-F1181-(E1182-E1181),0))</f>
        <v/>
      </c>
    </row>
    <row r="1183" customFormat="false" ht="15" hidden="false" customHeight="false" outlineLevel="0" collapsed="false">
      <c r="A1183" s="13" t="str">
        <f aca="false">IF(Prices!A1183="","",Prices!A1183)</f>
        <v/>
      </c>
      <c r="B1183" s="14" t="str">
        <f aca="false">IF(A1183="","",Prices!C1183)</f>
        <v/>
      </c>
      <c r="C1183" s="15" t="str">
        <f aca="false">IF(A1183="","",IFERROR(INDEX(FX!$B:$B,MATCH(A1183,FX!$A:$A,1)),""))</f>
        <v/>
      </c>
      <c r="D1183" s="14" t="str">
        <f aca="false">IF(A1183="","",SUMIFS(Transactions!$D:$D,Transactions!$A:$A,"&lt;="&amp;A1183,Transactions!$B:$B,Settings!$B$1))</f>
        <v/>
      </c>
      <c r="E1183" s="14" t="str">
        <f aca="false">IF(A1183="","",SUMIFS(Transactions!$C:$C,Transactions!$A:$A,"&lt;="&amp;A1183,Transactions!$B:$B,Settings!$B$1)+SUMIFS(Transactions!$F:$F,Transactions!$A:$A,"&lt;="&amp;A1183,Transactions!$B:$B,Settings!$B$1))</f>
        <v/>
      </c>
      <c r="F1183" s="14" t="str">
        <f aca="false">IF(A1183="","",IF(C1183="","",D1183*B1183*C1183))</f>
        <v/>
      </c>
      <c r="G1183" s="14" t="str">
        <f aca="false">IF(F1183="","",F1183-E1183)</f>
        <v/>
      </c>
      <c r="H1183" s="14" t="str">
        <f aca="false">IF(F1183="","",IFERROR(F1183-F1182-(E1183-E1182),0))</f>
        <v/>
      </c>
    </row>
    <row r="1184" customFormat="false" ht="15" hidden="false" customHeight="false" outlineLevel="0" collapsed="false">
      <c r="A1184" s="13" t="str">
        <f aca="false">IF(Prices!A1184="","",Prices!A1184)</f>
        <v/>
      </c>
      <c r="B1184" s="14" t="str">
        <f aca="false">IF(A1184="","",Prices!C1184)</f>
        <v/>
      </c>
      <c r="C1184" s="15" t="str">
        <f aca="false">IF(A1184="","",IFERROR(INDEX(FX!$B:$B,MATCH(A1184,FX!$A:$A,1)),""))</f>
        <v/>
      </c>
      <c r="D1184" s="14" t="str">
        <f aca="false">IF(A1184="","",SUMIFS(Transactions!$D:$D,Transactions!$A:$A,"&lt;="&amp;A1184,Transactions!$B:$B,Settings!$B$1))</f>
        <v/>
      </c>
      <c r="E1184" s="14" t="str">
        <f aca="false">IF(A1184="","",SUMIFS(Transactions!$C:$C,Transactions!$A:$A,"&lt;="&amp;A1184,Transactions!$B:$B,Settings!$B$1)+SUMIFS(Transactions!$F:$F,Transactions!$A:$A,"&lt;="&amp;A1184,Transactions!$B:$B,Settings!$B$1))</f>
        <v/>
      </c>
      <c r="F1184" s="14" t="str">
        <f aca="false">IF(A1184="","",IF(C1184="","",D1184*B1184*C1184))</f>
        <v/>
      </c>
      <c r="G1184" s="14" t="str">
        <f aca="false">IF(F1184="","",F1184-E1184)</f>
        <v/>
      </c>
      <c r="H1184" s="14" t="str">
        <f aca="false">IF(F1184="","",IFERROR(F1184-F1183-(E1184-E1183),0))</f>
        <v/>
      </c>
    </row>
    <row r="1185" customFormat="false" ht="15" hidden="false" customHeight="false" outlineLevel="0" collapsed="false">
      <c r="A1185" s="13" t="str">
        <f aca="false">IF(Prices!A1185="","",Prices!A1185)</f>
        <v/>
      </c>
      <c r="B1185" s="14" t="str">
        <f aca="false">IF(A1185="","",Prices!C1185)</f>
        <v/>
      </c>
      <c r="C1185" s="15" t="str">
        <f aca="false">IF(A1185="","",IFERROR(INDEX(FX!$B:$B,MATCH(A1185,FX!$A:$A,1)),""))</f>
        <v/>
      </c>
      <c r="D1185" s="14" t="str">
        <f aca="false">IF(A1185="","",SUMIFS(Transactions!$D:$D,Transactions!$A:$A,"&lt;="&amp;A1185,Transactions!$B:$B,Settings!$B$1))</f>
        <v/>
      </c>
      <c r="E1185" s="14" t="str">
        <f aca="false">IF(A1185="","",SUMIFS(Transactions!$C:$C,Transactions!$A:$A,"&lt;="&amp;A1185,Transactions!$B:$B,Settings!$B$1)+SUMIFS(Transactions!$F:$F,Transactions!$A:$A,"&lt;="&amp;A1185,Transactions!$B:$B,Settings!$B$1))</f>
        <v/>
      </c>
      <c r="F1185" s="14" t="str">
        <f aca="false">IF(A1185="","",IF(C1185="","",D1185*B1185*C1185))</f>
        <v/>
      </c>
      <c r="G1185" s="14" t="str">
        <f aca="false">IF(F1185="","",F1185-E1185)</f>
        <v/>
      </c>
      <c r="H1185" s="14" t="str">
        <f aca="false">IF(F1185="","",IFERROR(F1185-F1184-(E1185-E1184),0))</f>
        <v/>
      </c>
    </row>
    <row r="1186" customFormat="false" ht="15" hidden="false" customHeight="false" outlineLevel="0" collapsed="false">
      <c r="A1186" s="13" t="str">
        <f aca="false">IF(Prices!A1186="","",Prices!A1186)</f>
        <v/>
      </c>
      <c r="B1186" s="14" t="str">
        <f aca="false">IF(A1186="","",Prices!C1186)</f>
        <v/>
      </c>
      <c r="C1186" s="15" t="str">
        <f aca="false">IF(A1186="","",IFERROR(INDEX(FX!$B:$B,MATCH(A1186,FX!$A:$A,1)),""))</f>
        <v/>
      </c>
      <c r="D1186" s="14" t="str">
        <f aca="false">IF(A1186="","",SUMIFS(Transactions!$D:$D,Transactions!$A:$A,"&lt;="&amp;A1186,Transactions!$B:$B,Settings!$B$1))</f>
        <v/>
      </c>
      <c r="E1186" s="14" t="str">
        <f aca="false">IF(A1186="","",SUMIFS(Transactions!$C:$C,Transactions!$A:$A,"&lt;="&amp;A1186,Transactions!$B:$B,Settings!$B$1)+SUMIFS(Transactions!$F:$F,Transactions!$A:$A,"&lt;="&amp;A1186,Transactions!$B:$B,Settings!$B$1))</f>
        <v/>
      </c>
      <c r="F1186" s="14" t="str">
        <f aca="false">IF(A1186="","",IF(C1186="","",D1186*B1186*C1186))</f>
        <v/>
      </c>
      <c r="G1186" s="14" t="str">
        <f aca="false">IF(F1186="","",F1186-E1186)</f>
        <v/>
      </c>
      <c r="H1186" s="14" t="str">
        <f aca="false">IF(F1186="","",IFERROR(F1186-F1185-(E1186-E1185),0))</f>
        <v/>
      </c>
    </row>
    <row r="1187" customFormat="false" ht="15" hidden="false" customHeight="false" outlineLevel="0" collapsed="false">
      <c r="A1187" s="13" t="str">
        <f aca="false">IF(Prices!A1187="","",Prices!A1187)</f>
        <v/>
      </c>
      <c r="B1187" s="14" t="str">
        <f aca="false">IF(A1187="","",Prices!C1187)</f>
        <v/>
      </c>
      <c r="C1187" s="15" t="str">
        <f aca="false">IF(A1187="","",IFERROR(INDEX(FX!$B:$B,MATCH(A1187,FX!$A:$A,1)),""))</f>
        <v/>
      </c>
      <c r="D1187" s="14" t="str">
        <f aca="false">IF(A1187="","",SUMIFS(Transactions!$D:$D,Transactions!$A:$A,"&lt;="&amp;A1187,Transactions!$B:$B,Settings!$B$1))</f>
        <v/>
      </c>
      <c r="E1187" s="14" t="str">
        <f aca="false">IF(A1187="","",SUMIFS(Transactions!$C:$C,Transactions!$A:$A,"&lt;="&amp;A1187,Transactions!$B:$B,Settings!$B$1)+SUMIFS(Transactions!$F:$F,Transactions!$A:$A,"&lt;="&amp;A1187,Transactions!$B:$B,Settings!$B$1))</f>
        <v/>
      </c>
      <c r="F1187" s="14" t="str">
        <f aca="false">IF(A1187="","",IF(C1187="","",D1187*B1187*C1187))</f>
        <v/>
      </c>
      <c r="G1187" s="14" t="str">
        <f aca="false">IF(F1187="","",F1187-E1187)</f>
        <v/>
      </c>
      <c r="H1187" s="14" t="str">
        <f aca="false">IF(F1187="","",IFERROR(F1187-F1186-(E1187-E1186),0))</f>
        <v/>
      </c>
    </row>
    <row r="1188" customFormat="false" ht="15" hidden="false" customHeight="false" outlineLevel="0" collapsed="false">
      <c r="A1188" s="13" t="str">
        <f aca="false">IF(Prices!A1188="","",Prices!A1188)</f>
        <v/>
      </c>
      <c r="B1188" s="14" t="str">
        <f aca="false">IF(A1188="","",Prices!C1188)</f>
        <v/>
      </c>
      <c r="C1188" s="15" t="str">
        <f aca="false">IF(A1188="","",IFERROR(INDEX(FX!$B:$B,MATCH(A1188,FX!$A:$A,1)),""))</f>
        <v/>
      </c>
      <c r="D1188" s="14" t="str">
        <f aca="false">IF(A1188="","",SUMIFS(Transactions!$D:$D,Transactions!$A:$A,"&lt;="&amp;A1188,Transactions!$B:$B,Settings!$B$1))</f>
        <v/>
      </c>
      <c r="E1188" s="14" t="str">
        <f aca="false">IF(A1188="","",SUMIFS(Transactions!$C:$C,Transactions!$A:$A,"&lt;="&amp;A1188,Transactions!$B:$B,Settings!$B$1)+SUMIFS(Transactions!$F:$F,Transactions!$A:$A,"&lt;="&amp;A1188,Transactions!$B:$B,Settings!$B$1))</f>
        <v/>
      </c>
      <c r="F1188" s="14" t="str">
        <f aca="false">IF(A1188="","",IF(C1188="","",D1188*B1188*C1188))</f>
        <v/>
      </c>
      <c r="G1188" s="14" t="str">
        <f aca="false">IF(F1188="","",F1188-E1188)</f>
        <v/>
      </c>
      <c r="H1188" s="14" t="str">
        <f aca="false">IF(F1188="","",IFERROR(F1188-F1187-(E1188-E1187),0))</f>
        <v/>
      </c>
    </row>
    <row r="1189" customFormat="false" ht="15" hidden="false" customHeight="false" outlineLevel="0" collapsed="false">
      <c r="A1189" s="13" t="str">
        <f aca="false">IF(Prices!A1189="","",Prices!A1189)</f>
        <v/>
      </c>
      <c r="B1189" s="14" t="str">
        <f aca="false">IF(A1189="","",Prices!C1189)</f>
        <v/>
      </c>
      <c r="C1189" s="15" t="str">
        <f aca="false">IF(A1189="","",IFERROR(INDEX(FX!$B:$B,MATCH(A1189,FX!$A:$A,1)),""))</f>
        <v/>
      </c>
      <c r="D1189" s="14" t="str">
        <f aca="false">IF(A1189="","",SUMIFS(Transactions!$D:$D,Transactions!$A:$A,"&lt;="&amp;A1189,Transactions!$B:$B,Settings!$B$1))</f>
        <v/>
      </c>
      <c r="E1189" s="14" t="str">
        <f aca="false">IF(A1189="","",SUMIFS(Transactions!$C:$C,Transactions!$A:$A,"&lt;="&amp;A1189,Transactions!$B:$B,Settings!$B$1)+SUMIFS(Transactions!$F:$F,Transactions!$A:$A,"&lt;="&amp;A1189,Transactions!$B:$B,Settings!$B$1))</f>
        <v/>
      </c>
      <c r="F1189" s="14" t="str">
        <f aca="false">IF(A1189="","",IF(C1189="","",D1189*B1189*C1189))</f>
        <v/>
      </c>
      <c r="G1189" s="14" t="str">
        <f aca="false">IF(F1189="","",F1189-E1189)</f>
        <v/>
      </c>
      <c r="H1189" s="14" t="str">
        <f aca="false">IF(F1189="","",IFERROR(F1189-F1188-(E1189-E1188),0))</f>
        <v/>
      </c>
    </row>
    <row r="1190" customFormat="false" ht="15" hidden="false" customHeight="false" outlineLevel="0" collapsed="false">
      <c r="A1190" s="13" t="str">
        <f aca="false">IF(Prices!A1190="","",Prices!A1190)</f>
        <v/>
      </c>
      <c r="B1190" s="14" t="str">
        <f aca="false">IF(A1190="","",Prices!C1190)</f>
        <v/>
      </c>
      <c r="C1190" s="15" t="str">
        <f aca="false">IF(A1190="","",IFERROR(INDEX(FX!$B:$B,MATCH(A1190,FX!$A:$A,1)),""))</f>
        <v/>
      </c>
      <c r="D1190" s="14" t="str">
        <f aca="false">IF(A1190="","",SUMIFS(Transactions!$D:$D,Transactions!$A:$A,"&lt;="&amp;A1190,Transactions!$B:$B,Settings!$B$1))</f>
        <v/>
      </c>
      <c r="E1190" s="14" t="str">
        <f aca="false">IF(A1190="","",SUMIFS(Transactions!$C:$C,Transactions!$A:$A,"&lt;="&amp;A1190,Transactions!$B:$B,Settings!$B$1)+SUMIFS(Transactions!$F:$F,Transactions!$A:$A,"&lt;="&amp;A1190,Transactions!$B:$B,Settings!$B$1))</f>
        <v/>
      </c>
      <c r="F1190" s="14" t="str">
        <f aca="false">IF(A1190="","",IF(C1190="","",D1190*B1190*C1190))</f>
        <v/>
      </c>
      <c r="G1190" s="14" t="str">
        <f aca="false">IF(F1190="","",F1190-E1190)</f>
        <v/>
      </c>
      <c r="H1190" s="14" t="str">
        <f aca="false">IF(F1190="","",IFERROR(F1190-F1189-(E1190-E1189),0))</f>
        <v/>
      </c>
    </row>
    <row r="1191" customFormat="false" ht="15" hidden="false" customHeight="false" outlineLevel="0" collapsed="false">
      <c r="A1191" s="13" t="str">
        <f aca="false">IF(Prices!A1191="","",Prices!A1191)</f>
        <v/>
      </c>
      <c r="B1191" s="14" t="str">
        <f aca="false">IF(A1191="","",Prices!C1191)</f>
        <v/>
      </c>
      <c r="C1191" s="15" t="str">
        <f aca="false">IF(A1191="","",IFERROR(INDEX(FX!$B:$B,MATCH(A1191,FX!$A:$A,1)),""))</f>
        <v/>
      </c>
      <c r="D1191" s="14" t="str">
        <f aca="false">IF(A1191="","",SUMIFS(Transactions!$D:$D,Transactions!$A:$A,"&lt;="&amp;A1191,Transactions!$B:$B,Settings!$B$1))</f>
        <v/>
      </c>
      <c r="E1191" s="14" t="str">
        <f aca="false">IF(A1191="","",SUMIFS(Transactions!$C:$C,Transactions!$A:$A,"&lt;="&amp;A1191,Transactions!$B:$B,Settings!$B$1)+SUMIFS(Transactions!$F:$F,Transactions!$A:$A,"&lt;="&amp;A1191,Transactions!$B:$B,Settings!$B$1))</f>
        <v/>
      </c>
      <c r="F1191" s="14" t="str">
        <f aca="false">IF(A1191="","",IF(C1191="","",D1191*B1191*C1191))</f>
        <v/>
      </c>
      <c r="G1191" s="14" t="str">
        <f aca="false">IF(F1191="","",F1191-E1191)</f>
        <v/>
      </c>
      <c r="H1191" s="14" t="str">
        <f aca="false">IF(F1191="","",IFERROR(F1191-F1190-(E1191-E1190),0))</f>
        <v/>
      </c>
    </row>
    <row r="1192" customFormat="false" ht="15" hidden="false" customHeight="false" outlineLevel="0" collapsed="false">
      <c r="A1192" s="13" t="str">
        <f aca="false">IF(Prices!A1192="","",Prices!A1192)</f>
        <v/>
      </c>
      <c r="B1192" s="14" t="str">
        <f aca="false">IF(A1192="","",Prices!C1192)</f>
        <v/>
      </c>
      <c r="C1192" s="15" t="str">
        <f aca="false">IF(A1192="","",IFERROR(INDEX(FX!$B:$B,MATCH(A1192,FX!$A:$A,1)),""))</f>
        <v/>
      </c>
      <c r="D1192" s="14" t="str">
        <f aca="false">IF(A1192="","",SUMIFS(Transactions!$D:$D,Transactions!$A:$A,"&lt;="&amp;A1192,Transactions!$B:$B,Settings!$B$1))</f>
        <v/>
      </c>
      <c r="E1192" s="14" t="str">
        <f aca="false">IF(A1192="","",SUMIFS(Transactions!$C:$C,Transactions!$A:$A,"&lt;="&amp;A1192,Transactions!$B:$B,Settings!$B$1)+SUMIFS(Transactions!$F:$F,Transactions!$A:$A,"&lt;="&amp;A1192,Transactions!$B:$B,Settings!$B$1))</f>
        <v/>
      </c>
      <c r="F1192" s="14" t="str">
        <f aca="false">IF(A1192="","",IF(C1192="","",D1192*B1192*C1192))</f>
        <v/>
      </c>
      <c r="G1192" s="14" t="str">
        <f aca="false">IF(F1192="","",F1192-E1192)</f>
        <v/>
      </c>
      <c r="H1192" s="14" t="str">
        <f aca="false">IF(F1192="","",IFERROR(F1192-F1191-(E1192-E1191),0))</f>
        <v/>
      </c>
    </row>
    <row r="1193" customFormat="false" ht="15" hidden="false" customHeight="false" outlineLevel="0" collapsed="false">
      <c r="A1193" s="13" t="str">
        <f aca="false">IF(Prices!A1193="","",Prices!A1193)</f>
        <v/>
      </c>
      <c r="B1193" s="14" t="str">
        <f aca="false">IF(A1193="","",Prices!C1193)</f>
        <v/>
      </c>
      <c r="C1193" s="15" t="str">
        <f aca="false">IF(A1193="","",IFERROR(INDEX(FX!$B:$B,MATCH(A1193,FX!$A:$A,1)),""))</f>
        <v/>
      </c>
      <c r="D1193" s="14" t="str">
        <f aca="false">IF(A1193="","",SUMIFS(Transactions!$D:$D,Transactions!$A:$A,"&lt;="&amp;A1193,Transactions!$B:$B,Settings!$B$1))</f>
        <v/>
      </c>
      <c r="E1193" s="14" t="str">
        <f aca="false">IF(A1193="","",SUMIFS(Transactions!$C:$C,Transactions!$A:$A,"&lt;="&amp;A1193,Transactions!$B:$B,Settings!$B$1)+SUMIFS(Transactions!$F:$F,Transactions!$A:$A,"&lt;="&amp;A1193,Transactions!$B:$B,Settings!$B$1))</f>
        <v/>
      </c>
      <c r="F1193" s="14" t="str">
        <f aca="false">IF(A1193="","",IF(C1193="","",D1193*B1193*C1193))</f>
        <v/>
      </c>
      <c r="G1193" s="14" t="str">
        <f aca="false">IF(F1193="","",F1193-E1193)</f>
        <v/>
      </c>
      <c r="H1193" s="14" t="str">
        <f aca="false">IF(F1193="","",IFERROR(F1193-F1192-(E1193-E1192),0))</f>
        <v/>
      </c>
    </row>
    <row r="1194" customFormat="false" ht="15" hidden="false" customHeight="false" outlineLevel="0" collapsed="false">
      <c r="A1194" s="13" t="str">
        <f aca="false">IF(Prices!A1194="","",Prices!A1194)</f>
        <v/>
      </c>
      <c r="B1194" s="14" t="str">
        <f aca="false">IF(A1194="","",Prices!C1194)</f>
        <v/>
      </c>
      <c r="C1194" s="15" t="str">
        <f aca="false">IF(A1194="","",IFERROR(INDEX(FX!$B:$B,MATCH(A1194,FX!$A:$A,1)),""))</f>
        <v/>
      </c>
      <c r="D1194" s="14" t="str">
        <f aca="false">IF(A1194="","",SUMIFS(Transactions!$D:$D,Transactions!$A:$A,"&lt;="&amp;A1194,Transactions!$B:$B,Settings!$B$1))</f>
        <v/>
      </c>
      <c r="E1194" s="14" t="str">
        <f aca="false">IF(A1194="","",SUMIFS(Transactions!$C:$C,Transactions!$A:$A,"&lt;="&amp;A1194,Transactions!$B:$B,Settings!$B$1)+SUMIFS(Transactions!$F:$F,Transactions!$A:$A,"&lt;="&amp;A1194,Transactions!$B:$B,Settings!$B$1))</f>
        <v/>
      </c>
      <c r="F1194" s="14" t="str">
        <f aca="false">IF(A1194="","",IF(C1194="","",D1194*B1194*C1194))</f>
        <v/>
      </c>
      <c r="G1194" s="14" t="str">
        <f aca="false">IF(F1194="","",F1194-E1194)</f>
        <v/>
      </c>
      <c r="H1194" s="14" t="str">
        <f aca="false">IF(F1194="","",IFERROR(F1194-F1193-(E1194-E1193),0))</f>
        <v/>
      </c>
    </row>
    <row r="1195" customFormat="false" ht="15" hidden="false" customHeight="false" outlineLevel="0" collapsed="false">
      <c r="A1195" s="13" t="str">
        <f aca="false">IF(Prices!A1195="","",Prices!A1195)</f>
        <v/>
      </c>
      <c r="B1195" s="14" t="str">
        <f aca="false">IF(A1195="","",Prices!C1195)</f>
        <v/>
      </c>
      <c r="C1195" s="15" t="str">
        <f aca="false">IF(A1195="","",IFERROR(INDEX(FX!$B:$B,MATCH(A1195,FX!$A:$A,1)),""))</f>
        <v/>
      </c>
      <c r="D1195" s="14" t="str">
        <f aca="false">IF(A1195="","",SUMIFS(Transactions!$D:$D,Transactions!$A:$A,"&lt;="&amp;A1195,Transactions!$B:$B,Settings!$B$1))</f>
        <v/>
      </c>
      <c r="E1195" s="14" t="str">
        <f aca="false">IF(A1195="","",SUMIFS(Transactions!$C:$C,Transactions!$A:$A,"&lt;="&amp;A1195,Transactions!$B:$B,Settings!$B$1)+SUMIFS(Transactions!$F:$F,Transactions!$A:$A,"&lt;="&amp;A1195,Transactions!$B:$B,Settings!$B$1))</f>
        <v/>
      </c>
      <c r="F1195" s="14" t="str">
        <f aca="false">IF(A1195="","",IF(C1195="","",D1195*B1195*C1195))</f>
        <v/>
      </c>
      <c r="G1195" s="14" t="str">
        <f aca="false">IF(F1195="","",F1195-E1195)</f>
        <v/>
      </c>
      <c r="H1195" s="14" t="str">
        <f aca="false">IF(F1195="","",IFERROR(F1195-F1194-(E1195-E1194),0))</f>
        <v/>
      </c>
    </row>
    <row r="1196" customFormat="false" ht="15" hidden="false" customHeight="false" outlineLevel="0" collapsed="false">
      <c r="A1196" s="13" t="str">
        <f aca="false">IF(Prices!A1196="","",Prices!A1196)</f>
        <v/>
      </c>
      <c r="B1196" s="14" t="str">
        <f aca="false">IF(A1196="","",Prices!C1196)</f>
        <v/>
      </c>
      <c r="C1196" s="15" t="str">
        <f aca="false">IF(A1196="","",IFERROR(INDEX(FX!$B:$B,MATCH(A1196,FX!$A:$A,1)),""))</f>
        <v/>
      </c>
      <c r="D1196" s="14" t="str">
        <f aca="false">IF(A1196="","",SUMIFS(Transactions!$D:$D,Transactions!$A:$A,"&lt;="&amp;A1196,Transactions!$B:$B,Settings!$B$1))</f>
        <v/>
      </c>
      <c r="E1196" s="14" t="str">
        <f aca="false">IF(A1196="","",SUMIFS(Transactions!$C:$C,Transactions!$A:$A,"&lt;="&amp;A1196,Transactions!$B:$B,Settings!$B$1)+SUMIFS(Transactions!$F:$F,Transactions!$A:$A,"&lt;="&amp;A1196,Transactions!$B:$B,Settings!$B$1))</f>
        <v/>
      </c>
      <c r="F1196" s="14" t="str">
        <f aca="false">IF(A1196="","",IF(C1196="","",D1196*B1196*C1196))</f>
        <v/>
      </c>
      <c r="G1196" s="14" t="str">
        <f aca="false">IF(F1196="","",F1196-E1196)</f>
        <v/>
      </c>
      <c r="H1196" s="14" t="str">
        <f aca="false">IF(F1196="","",IFERROR(F1196-F1195-(E1196-E1195),0))</f>
        <v/>
      </c>
    </row>
    <row r="1197" customFormat="false" ht="15" hidden="false" customHeight="false" outlineLevel="0" collapsed="false">
      <c r="A1197" s="13" t="str">
        <f aca="false">IF(Prices!A1197="","",Prices!A1197)</f>
        <v/>
      </c>
      <c r="B1197" s="14" t="str">
        <f aca="false">IF(A1197="","",Prices!C1197)</f>
        <v/>
      </c>
      <c r="C1197" s="15" t="str">
        <f aca="false">IF(A1197="","",IFERROR(INDEX(FX!$B:$B,MATCH(A1197,FX!$A:$A,1)),""))</f>
        <v/>
      </c>
      <c r="D1197" s="14" t="str">
        <f aca="false">IF(A1197="","",SUMIFS(Transactions!$D:$D,Transactions!$A:$A,"&lt;="&amp;A1197,Transactions!$B:$B,Settings!$B$1))</f>
        <v/>
      </c>
      <c r="E1197" s="14" t="str">
        <f aca="false">IF(A1197="","",SUMIFS(Transactions!$C:$C,Transactions!$A:$A,"&lt;="&amp;A1197,Transactions!$B:$B,Settings!$B$1)+SUMIFS(Transactions!$F:$F,Transactions!$A:$A,"&lt;="&amp;A1197,Transactions!$B:$B,Settings!$B$1))</f>
        <v/>
      </c>
      <c r="F1197" s="14" t="str">
        <f aca="false">IF(A1197="","",IF(C1197="","",D1197*B1197*C1197))</f>
        <v/>
      </c>
      <c r="G1197" s="14" t="str">
        <f aca="false">IF(F1197="","",F1197-E1197)</f>
        <v/>
      </c>
      <c r="H1197" s="14" t="str">
        <f aca="false">IF(F1197="","",IFERROR(F1197-F1196-(E1197-E1196),0))</f>
        <v/>
      </c>
    </row>
    <row r="1198" customFormat="false" ht="15" hidden="false" customHeight="false" outlineLevel="0" collapsed="false">
      <c r="A1198" s="13" t="str">
        <f aca="false">IF(Prices!A1198="","",Prices!A1198)</f>
        <v/>
      </c>
      <c r="B1198" s="14" t="str">
        <f aca="false">IF(A1198="","",Prices!C1198)</f>
        <v/>
      </c>
      <c r="C1198" s="15" t="str">
        <f aca="false">IF(A1198="","",IFERROR(INDEX(FX!$B:$B,MATCH(A1198,FX!$A:$A,1)),""))</f>
        <v/>
      </c>
      <c r="D1198" s="14" t="str">
        <f aca="false">IF(A1198="","",SUMIFS(Transactions!$D:$D,Transactions!$A:$A,"&lt;="&amp;A1198,Transactions!$B:$B,Settings!$B$1))</f>
        <v/>
      </c>
      <c r="E1198" s="14" t="str">
        <f aca="false">IF(A1198="","",SUMIFS(Transactions!$C:$C,Transactions!$A:$A,"&lt;="&amp;A1198,Transactions!$B:$B,Settings!$B$1)+SUMIFS(Transactions!$F:$F,Transactions!$A:$A,"&lt;="&amp;A1198,Transactions!$B:$B,Settings!$B$1))</f>
        <v/>
      </c>
      <c r="F1198" s="14" t="str">
        <f aca="false">IF(A1198="","",IF(C1198="","",D1198*B1198*C1198))</f>
        <v/>
      </c>
      <c r="G1198" s="14" t="str">
        <f aca="false">IF(F1198="","",F1198-E1198)</f>
        <v/>
      </c>
      <c r="H1198" s="14" t="str">
        <f aca="false">IF(F1198="","",IFERROR(F1198-F1197-(E1198-E1197),0))</f>
        <v/>
      </c>
    </row>
    <row r="1199" customFormat="false" ht="15" hidden="false" customHeight="false" outlineLevel="0" collapsed="false">
      <c r="A1199" s="13" t="str">
        <f aca="false">IF(Prices!A1199="","",Prices!A1199)</f>
        <v/>
      </c>
      <c r="B1199" s="14" t="str">
        <f aca="false">IF(A1199="","",Prices!C1199)</f>
        <v/>
      </c>
      <c r="C1199" s="15" t="str">
        <f aca="false">IF(A1199="","",IFERROR(INDEX(FX!$B:$B,MATCH(A1199,FX!$A:$A,1)),""))</f>
        <v/>
      </c>
      <c r="D1199" s="14" t="str">
        <f aca="false">IF(A1199="","",SUMIFS(Transactions!$D:$D,Transactions!$A:$A,"&lt;="&amp;A1199,Transactions!$B:$B,Settings!$B$1))</f>
        <v/>
      </c>
      <c r="E1199" s="14" t="str">
        <f aca="false">IF(A1199="","",SUMIFS(Transactions!$C:$C,Transactions!$A:$A,"&lt;="&amp;A1199,Transactions!$B:$B,Settings!$B$1)+SUMIFS(Transactions!$F:$F,Transactions!$A:$A,"&lt;="&amp;A1199,Transactions!$B:$B,Settings!$B$1))</f>
        <v/>
      </c>
      <c r="F1199" s="14" t="str">
        <f aca="false">IF(A1199="","",IF(C1199="","",D1199*B1199*C1199))</f>
        <v/>
      </c>
      <c r="G1199" s="14" t="str">
        <f aca="false">IF(F1199="","",F1199-E1199)</f>
        <v/>
      </c>
      <c r="H1199" s="14" t="str">
        <f aca="false">IF(F1199="","",IFERROR(F1199-F1198-(E1199-E1198),0))</f>
        <v/>
      </c>
    </row>
    <row r="1200" customFormat="false" ht="15" hidden="false" customHeight="false" outlineLevel="0" collapsed="false">
      <c r="A1200" s="13" t="str">
        <f aca="false">IF(Prices!A1200="","",Prices!A1200)</f>
        <v/>
      </c>
      <c r="B1200" s="14" t="str">
        <f aca="false">IF(A1200="","",Prices!C1200)</f>
        <v/>
      </c>
      <c r="C1200" s="15" t="str">
        <f aca="false">IF(A1200="","",IFERROR(INDEX(FX!$B:$B,MATCH(A1200,FX!$A:$A,1)),""))</f>
        <v/>
      </c>
      <c r="D1200" s="14" t="str">
        <f aca="false">IF(A1200="","",SUMIFS(Transactions!$D:$D,Transactions!$A:$A,"&lt;="&amp;A1200,Transactions!$B:$B,Settings!$B$1))</f>
        <v/>
      </c>
      <c r="E1200" s="14" t="str">
        <f aca="false">IF(A1200="","",SUMIFS(Transactions!$C:$C,Transactions!$A:$A,"&lt;="&amp;A1200,Transactions!$B:$B,Settings!$B$1)+SUMIFS(Transactions!$F:$F,Transactions!$A:$A,"&lt;="&amp;A1200,Transactions!$B:$B,Settings!$B$1))</f>
        <v/>
      </c>
      <c r="F1200" s="14" t="str">
        <f aca="false">IF(A1200="","",IF(C1200="","",D1200*B1200*C1200))</f>
        <v/>
      </c>
      <c r="G1200" s="14" t="str">
        <f aca="false">IF(F1200="","",F1200-E1200)</f>
        <v/>
      </c>
      <c r="H1200" s="14" t="str">
        <f aca="false">IF(F1200="","",IFERROR(F1200-F1199-(E1200-E1199),0))</f>
        <v/>
      </c>
    </row>
    <row r="1201" customFormat="false" ht="15" hidden="false" customHeight="false" outlineLevel="0" collapsed="false">
      <c r="A1201" s="13" t="str">
        <f aca="false">IF(Prices!A1201="","",Prices!A1201)</f>
        <v/>
      </c>
      <c r="B1201" s="14" t="str">
        <f aca="false">IF(A1201="","",Prices!C1201)</f>
        <v/>
      </c>
      <c r="C1201" s="15" t="str">
        <f aca="false">IF(A1201="","",IFERROR(INDEX(FX!$B:$B,MATCH(A1201,FX!$A:$A,1)),""))</f>
        <v/>
      </c>
      <c r="D1201" s="14" t="str">
        <f aca="false">IF(A1201="","",SUMIFS(Transactions!$D:$D,Transactions!$A:$A,"&lt;="&amp;A1201,Transactions!$B:$B,Settings!$B$1))</f>
        <v/>
      </c>
      <c r="E1201" s="14" t="str">
        <f aca="false">IF(A1201="","",SUMIFS(Transactions!$C:$C,Transactions!$A:$A,"&lt;="&amp;A1201,Transactions!$B:$B,Settings!$B$1)+SUMIFS(Transactions!$F:$F,Transactions!$A:$A,"&lt;="&amp;A1201,Transactions!$B:$B,Settings!$B$1))</f>
        <v/>
      </c>
      <c r="F1201" s="14" t="str">
        <f aca="false">IF(A1201="","",IF(C1201="","",D1201*B1201*C1201))</f>
        <v/>
      </c>
      <c r="G1201" s="14" t="str">
        <f aca="false">IF(F1201="","",F1201-E1201)</f>
        <v/>
      </c>
      <c r="H1201" s="14" t="str">
        <f aca="false">IF(F1201="","",IFERROR(F1201-F1200-(E1201-E1200),0))</f>
        <v/>
      </c>
    </row>
    <row r="1202" customFormat="false" ht="15" hidden="false" customHeight="false" outlineLevel="0" collapsed="false">
      <c r="A1202" s="13" t="str">
        <f aca="false">IF(Prices!A1202="","",Prices!A1202)</f>
        <v/>
      </c>
      <c r="B1202" s="14" t="str">
        <f aca="false">IF(A1202="","",Prices!C1202)</f>
        <v/>
      </c>
      <c r="C1202" s="15" t="str">
        <f aca="false">IF(A1202="","",IFERROR(INDEX(FX!$B:$B,MATCH(A1202,FX!$A:$A,1)),""))</f>
        <v/>
      </c>
      <c r="D1202" s="14" t="str">
        <f aca="false">IF(A1202="","",SUMIFS(Transactions!$D:$D,Transactions!$A:$A,"&lt;="&amp;A1202,Transactions!$B:$B,Settings!$B$1))</f>
        <v/>
      </c>
      <c r="E1202" s="14" t="str">
        <f aca="false">IF(A1202="","",SUMIFS(Transactions!$C:$C,Transactions!$A:$A,"&lt;="&amp;A1202,Transactions!$B:$B,Settings!$B$1)+SUMIFS(Transactions!$F:$F,Transactions!$A:$A,"&lt;="&amp;A1202,Transactions!$B:$B,Settings!$B$1))</f>
        <v/>
      </c>
      <c r="F1202" s="14" t="str">
        <f aca="false">IF(A1202="","",IF(C1202="","",D1202*B1202*C1202))</f>
        <v/>
      </c>
      <c r="G1202" s="14" t="str">
        <f aca="false">IF(F1202="","",F1202-E1202)</f>
        <v/>
      </c>
      <c r="H1202" s="14" t="str">
        <f aca="false">IF(F1202="","",IFERROR(F1202-F1201-(E1202-E1201),0))</f>
        <v/>
      </c>
    </row>
    <row r="1203" customFormat="false" ht="15" hidden="false" customHeight="false" outlineLevel="0" collapsed="false">
      <c r="A1203" s="13" t="str">
        <f aca="false">IF(Prices!A1203="","",Prices!A1203)</f>
        <v/>
      </c>
      <c r="B1203" s="14" t="str">
        <f aca="false">IF(A1203="","",Prices!C1203)</f>
        <v/>
      </c>
      <c r="C1203" s="15" t="str">
        <f aca="false">IF(A1203="","",IFERROR(INDEX(FX!$B:$B,MATCH(A1203,FX!$A:$A,1)),""))</f>
        <v/>
      </c>
      <c r="D1203" s="14" t="str">
        <f aca="false">IF(A1203="","",SUMIFS(Transactions!$D:$D,Transactions!$A:$A,"&lt;="&amp;A1203,Transactions!$B:$B,Settings!$B$1))</f>
        <v/>
      </c>
      <c r="E1203" s="14" t="str">
        <f aca="false">IF(A1203="","",SUMIFS(Transactions!$C:$C,Transactions!$A:$A,"&lt;="&amp;A1203,Transactions!$B:$B,Settings!$B$1)+SUMIFS(Transactions!$F:$F,Transactions!$A:$A,"&lt;="&amp;A1203,Transactions!$B:$B,Settings!$B$1))</f>
        <v/>
      </c>
      <c r="F1203" s="14" t="str">
        <f aca="false">IF(A1203="","",IF(C1203="","",D1203*B1203*C1203))</f>
        <v/>
      </c>
      <c r="G1203" s="14" t="str">
        <f aca="false">IF(F1203="","",F1203-E1203)</f>
        <v/>
      </c>
      <c r="H1203" s="14" t="str">
        <f aca="false">IF(F1203="","",IFERROR(F1203-F1202-(E1203-E1202),0))</f>
        <v/>
      </c>
    </row>
    <row r="1204" customFormat="false" ht="15" hidden="false" customHeight="false" outlineLevel="0" collapsed="false">
      <c r="A1204" s="13" t="str">
        <f aca="false">IF(Prices!A1204="","",Prices!A1204)</f>
        <v/>
      </c>
      <c r="B1204" s="14" t="str">
        <f aca="false">IF(A1204="","",Prices!C1204)</f>
        <v/>
      </c>
      <c r="C1204" s="15" t="str">
        <f aca="false">IF(A1204="","",IFERROR(INDEX(FX!$B:$B,MATCH(A1204,FX!$A:$A,1)),""))</f>
        <v/>
      </c>
      <c r="D1204" s="14" t="str">
        <f aca="false">IF(A1204="","",SUMIFS(Transactions!$D:$D,Transactions!$A:$A,"&lt;="&amp;A1204,Transactions!$B:$B,Settings!$B$1))</f>
        <v/>
      </c>
      <c r="E1204" s="14" t="str">
        <f aca="false">IF(A1204="","",SUMIFS(Transactions!$C:$C,Transactions!$A:$A,"&lt;="&amp;A1204,Transactions!$B:$B,Settings!$B$1)+SUMIFS(Transactions!$F:$F,Transactions!$A:$A,"&lt;="&amp;A1204,Transactions!$B:$B,Settings!$B$1))</f>
        <v/>
      </c>
      <c r="F1204" s="14" t="str">
        <f aca="false">IF(A1204="","",IF(C1204="","",D1204*B1204*C1204))</f>
        <v/>
      </c>
      <c r="G1204" s="14" t="str">
        <f aca="false">IF(F1204="","",F1204-E1204)</f>
        <v/>
      </c>
      <c r="H1204" s="14" t="str">
        <f aca="false">IF(F1204="","",IFERROR(F1204-F1203-(E1204-E1203),0))</f>
        <v/>
      </c>
    </row>
    <row r="1205" customFormat="false" ht="15" hidden="false" customHeight="false" outlineLevel="0" collapsed="false">
      <c r="A1205" s="13" t="str">
        <f aca="false">IF(Prices!A1205="","",Prices!A1205)</f>
        <v/>
      </c>
      <c r="B1205" s="14" t="str">
        <f aca="false">IF(A1205="","",Prices!C1205)</f>
        <v/>
      </c>
      <c r="C1205" s="15" t="str">
        <f aca="false">IF(A1205="","",IFERROR(INDEX(FX!$B:$B,MATCH(A1205,FX!$A:$A,1)),""))</f>
        <v/>
      </c>
      <c r="D1205" s="14" t="str">
        <f aca="false">IF(A1205="","",SUMIFS(Transactions!$D:$D,Transactions!$A:$A,"&lt;="&amp;A1205,Transactions!$B:$B,Settings!$B$1))</f>
        <v/>
      </c>
      <c r="E1205" s="14" t="str">
        <f aca="false">IF(A1205="","",SUMIFS(Transactions!$C:$C,Transactions!$A:$A,"&lt;="&amp;A1205,Transactions!$B:$B,Settings!$B$1)+SUMIFS(Transactions!$F:$F,Transactions!$A:$A,"&lt;="&amp;A1205,Transactions!$B:$B,Settings!$B$1))</f>
        <v/>
      </c>
      <c r="F1205" s="14" t="str">
        <f aca="false">IF(A1205="","",IF(C1205="","",D1205*B1205*C1205))</f>
        <v/>
      </c>
      <c r="G1205" s="14" t="str">
        <f aca="false">IF(F1205="","",F1205-E1205)</f>
        <v/>
      </c>
      <c r="H1205" s="14" t="str">
        <f aca="false">IF(F1205="","",IFERROR(F1205-F1204-(E1205-E1204),0))</f>
        <v/>
      </c>
    </row>
    <row r="1206" customFormat="false" ht="15" hidden="false" customHeight="false" outlineLevel="0" collapsed="false">
      <c r="A1206" s="13" t="str">
        <f aca="false">IF(Prices!A1206="","",Prices!A1206)</f>
        <v/>
      </c>
      <c r="B1206" s="14" t="str">
        <f aca="false">IF(A1206="","",Prices!C1206)</f>
        <v/>
      </c>
      <c r="C1206" s="15" t="str">
        <f aca="false">IF(A1206="","",IFERROR(INDEX(FX!$B:$B,MATCH(A1206,FX!$A:$A,1)),""))</f>
        <v/>
      </c>
      <c r="D1206" s="14" t="str">
        <f aca="false">IF(A1206="","",SUMIFS(Transactions!$D:$D,Transactions!$A:$A,"&lt;="&amp;A1206,Transactions!$B:$B,Settings!$B$1))</f>
        <v/>
      </c>
      <c r="E1206" s="14" t="str">
        <f aca="false">IF(A1206="","",SUMIFS(Transactions!$C:$C,Transactions!$A:$A,"&lt;="&amp;A1206,Transactions!$B:$B,Settings!$B$1)+SUMIFS(Transactions!$F:$F,Transactions!$A:$A,"&lt;="&amp;A1206,Transactions!$B:$B,Settings!$B$1))</f>
        <v/>
      </c>
      <c r="F1206" s="14" t="str">
        <f aca="false">IF(A1206="","",IF(C1206="","",D1206*B1206*C1206))</f>
        <v/>
      </c>
      <c r="G1206" s="14" t="str">
        <f aca="false">IF(F1206="","",F1206-E1206)</f>
        <v/>
      </c>
      <c r="H1206" s="14" t="str">
        <f aca="false">IF(F1206="","",IFERROR(F1206-F1205-(E1206-E1205),0))</f>
        <v/>
      </c>
    </row>
    <row r="1207" customFormat="false" ht="15" hidden="false" customHeight="false" outlineLevel="0" collapsed="false">
      <c r="A1207" s="13" t="str">
        <f aca="false">IF(Prices!A1207="","",Prices!A1207)</f>
        <v/>
      </c>
      <c r="B1207" s="14" t="str">
        <f aca="false">IF(A1207="","",Prices!C1207)</f>
        <v/>
      </c>
      <c r="C1207" s="15" t="str">
        <f aca="false">IF(A1207="","",IFERROR(INDEX(FX!$B:$B,MATCH(A1207,FX!$A:$A,1)),""))</f>
        <v/>
      </c>
      <c r="D1207" s="14" t="str">
        <f aca="false">IF(A1207="","",SUMIFS(Transactions!$D:$D,Transactions!$A:$A,"&lt;="&amp;A1207,Transactions!$B:$B,Settings!$B$1))</f>
        <v/>
      </c>
      <c r="E1207" s="14" t="str">
        <f aca="false">IF(A1207="","",SUMIFS(Transactions!$C:$C,Transactions!$A:$A,"&lt;="&amp;A1207,Transactions!$B:$B,Settings!$B$1)+SUMIFS(Transactions!$F:$F,Transactions!$A:$A,"&lt;="&amp;A1207,Transactions!$B:$B,Settings!$B$1))</f>
        <v/>
      </c>
      <c r="F1207" s="14" t="str">
        <f aca="false">IF(A1207="","",IF(C1207="","",D1207*B1207*C1207))</f>
        <v/>
      </c>
      <c r="G1207" s="14" t="str">
        <f aca="false">IF(F1207="","",F1207-E1207)</f>
        <v/>
      </c>
      <c r="H1207" s="14" t="str">
        <f aca="false">IF(F1207="","",IFERROR(F1207-F1206-(E1207-E1206),0))</f>
        <v/>
      </c>
    </row>
    <row r="1208" customFormat="false" ht="15" hidden="false" customHeight="false" outlineLevel="0" collapsed="false">
      <c r="A1208" s="13" t="str">
        <f aca="false">IF(Prices!A1208="","",Prices!A1208)</f>
        <v/>
      </c>
      <c r="B1208" s="14" t="str">
        <f aca="false">IF(A1208="","",Prices!C1208)</f>
        <v/>
      </c>
      <c r="C1208" s="15" t="str">
        <f aca="false">IF(A1208="","",IFERROR(INDEX(FX!$B:$B,MATCH(A1208,FX!$A:$A,1)),""))</f>
        <v/>
      </c>
      <c r="D1208" s="14" t="str">
        <f aca="false">IF(A1208="","",SUMIFS(Transactions!$D:$D,Transactions!$A:$A,"&lt;="&amp;A1208,Transactions!$B:$B,Settings!$B$1))</f>
        <v/>
      </c>
      <c r="E1208" s="14" t="str">
        <f aca="false">IF(A1208="","",SUMIFS(Transactions!$C:$C,Transactions!$A:$A,"&lt;="&amp;A1208,Transactions!$B:$B,Settings!$B$1)+SUMIFS(Transactions!$F:$F,Transactions!$A:$A,"&lt;="&amp;A1208,Transactions!$B:$B,Settings!$B$1))</f>
        <v/>
      </c>
      <c r="F1208" s="14" t="str">
        <f aca="false">IF(A1208="","",IF(C1208="","",D1208*B1208*C1208))</f>
        <v/>
      </c>
      <c r="G1208" s="14" t="str">
        <f aca="false">IF(F1208="","",F1208-E1208)</f>
        <v/>
      </c>
      <c r="H1208" s="14" t="str">
        <f aca="false">IF(F1208="","",IFERROR(F1208-F1207-(E1208-E1207),0))</f>
        <v/>
      </c>
    </row>
    <row r="1209" customFormat="false" ht="15" hidden="false" customHeight="false" outlineLevel="0" collapsed="false">
      <c r="A1209" s="13" t="str">
        <f aca="false">IF(Prices!A1209="","",Prices!A1209)</f>
        <v/>
      </c>
      <c r="B1209" s="14" t="str">
        <f aca="false">IF(A1209="","",Prices!C1209)</f>
        <v/>
      </c>
      <c r="C1209" s="15" t="str">
        <f aca="false">IF(A1209="","",IFERROR(INDEX(FX!$B:$B,MATCH(A1209,FX!$A:$A,1)),""))</f>
        <v/>
      </c>
      <c r="D1209" s="14" t="str">
        <f aca="false">IF(A1209="","",SUMIFS(Transactions!$D:$D,Transactions!$A:$A,"&lt;="&amp;A1209,Transactions!$B:$B,Settings!$B$1))</f>
        <v/>
      </c>
      <c r="E1209" s="14" t="str">
        <f aca="false">IF(A1209="","",SUMIFS(Transactions!$C:$C,Transactions!$A:$A,"&lt;="&amp;A1209,Transactions!$B:$B,Settings!$B$1)+SUMIFS(Transactions!$F:$F,Transactions!$A:$A,"&lt;="&amp;A1209,Transactions!$B:$B,Settings!$B$1))</f>
        <v/>
      </c>
      <c r="F1209" s="14" t="str">
        <f aca="false">IF(A1209="","",IF(C1209="","",D1209*B1209*C1209))</f>
        <v/>
      </c>
      <c r="G1209" s="14" t="str">
        <f aca="false">IF(F1209="","",F1209-E1209)</f>
        <v/>
      </c>
      <c r="H1209" s="14" t="str">
        <f aca="false">IF(F1209="","",IFERROR(F1209-F1208-(E1209-E1208),0))</f>
        <v/>
      </c>
    </row>
    <row r="1210" customFormat="false" ht="15" hidden="false" customHeight="false" outlineLevel="0" collapsed="false">
      <c r="A1210" s="13" t="str">
        <f aca="false">IF(Prices!A1210="","",Prices!A1210)</f>
        <v/>
      </c>
      <c r="B1210" s="14" t="str">
        <f aca="false">IF(A1210="","",Prices!C1210)</f>
        <v/>
      </c>
      <c r="C1210" s="15" t="str">
        <f aca="false">IF(A1210="","",IFERROR(INDEX(FX!$B:$B,MATCH(A1210,FX!$A:$A,1)),""))</f>
        <v/>
      </c>
      <c r="D1210" s="14" t="str">
        <f aca="false">IF(A1210="","",SUMIFS(Transactions!$D:$D,Transactions!$A:$A,"&lt;="&amp;A1210,Transactions!$B:$B,Settings!$B$1))</f>
        <v/>
      </c>
      <c r="E1210" s="14" t="str">
        <f aca="false">IF(A1210="","",SUMIFS(Transactions!$C:$C,Transactions!$A:$A,"&lt;="&amp;A1210,Transactions!$B:$B,Settings!$B$1)+SUMIFS(Transactions!$F:$F,Transactions!$A:$A,"&lt;="&amp;A1210,Transactions!$B:$B,Settings!$B$1))</f>
        <v/>
      </c>
      <c r="F1210" s="14" t="str">
        <f aca="false">IF(A1210="","",IF(C1210="","",D1210*B1210*C1210))</f>
        <v/>
      </c>
      <c r="G1210" s="14" t="str">
        <f aca="false">IF(F1210="","",F1210-E1210)</f>
        <v/>
      </c>
      <c r="H1210" s="14" t="str">
        <f aca="false">IF(F1210="","",IFERROR(F1210-F1209-(E1210-E1209),0))</f>
        <v/>
      </c>
    </row>
    <row r="1211" customFormat="false" ht="15" hidden="false" customHeight="false" outlineLevel="0" collapsed="false">
      <c r="A1211" s="13" t="str">
        <f aca="false">IF(Prices!A1211="","",Prices!A1211)</f>
        <v/>
      </c>
      <c r="B1211" s="14" t="str">
        <f aca="false">IF(A1211="","",Prices!C1211)</f>
        <v/>
      </c>
      <c r="C1211" s="15" t="str">
        <f aca="false">IF(A1211="","",IFERROR(INDEX(FX!$B:$B,MATCH(A1211,FX!$A:$A,1)),""))</f>
        <v/>
      </c>
      <c r="D1211" s="14" t="str">
        <f aca="false">IF(A1211="","",SUMIFS(Transactions!$D:$D,Transactions!$A:$A,"&lt;="&amp;A1211,Transactions!$B:$B,Settings!$B$1))</f>
        <v/>
      </c>
      <c r="E1211" s="14" t="str">
        <f aca="false">IF(A1211="","",SUMIFS(Transactions!$C:$C,Transactions!$A:$A,"&lt;="&amp;A1211,Transactions!$B:$B,Settings!$B$1)+SUMIFS(Transactions!$F:$F,Transactions!$A:$A,"&lt;="&amp;A1211,Transactions!$B:$B,Settings!$B$1))</f>
        <v/>
      </c>
      <c r="F1211" s="14" t="str">
        <f aca="false">IF(A1211="","",IF(C1211="","",D1211*B1211*C1211))</f>
        <v/>
      </c>
      <c r="G1211" s="14" t="str">
        <f aca="false">IF(F1211="","",F1211-E1211)</f>
        <v/>
      </c>
      <c r="H1211" s="14" t="str">
        <f aca="false">IF(F1211="","",IFERROR(F1211-F1210-(E1211-E1210),0))</f>
        <v/>
      </c>
    </row>
    <row r="1212" customFormat="false" ht="15" hidden="false" customHeight="false" outlineLevel="0" collapsed="false">
      <c r="A1212" s="13" t="str">
        <f aca="false">IF(Prices!A1212="","",Prices!A1212)</f>
        <v/>
      </c>
      <c r="B1212" s="14" t="str">
        <f aca="false">IF(A1212="","",Prices!C1212)</f>
        <v/>
      </c>
      <c r="C1212" s="15" t="str">
        <f aca="false">IF(A1212="","",IFERROR(INDEX(FX!$B:$B,MATCH(A1212,FX!$A:$A,1)),""))</f>
        <v/>
      </c>
      <c r="D1212" s="14" t="str">
        <f aca="false">IF(A1212="","",SUMIFS(Transactions!$D:$D,Transactions!$A:$A,"&lt;="&amp;A1212,Transactions!$B:$B,Settings!$B$1))</f>
        <v/>
      </c>
      <c r="E1212" s="14" t="str">
        <f aca="false">IF(A1212="","",SUMIFS(Transactions!$C:$C,Transactions!$A:$A,"&lt;="&amp;A1212,Transactions!$B:$B,Settings!$B$1)+SUMIFS(Transactions!$F:$F,Transactions!$A:$A,"&lt;="&amp;A1212,Transactions!$B:$B,Settings!$B$1))</f>
        <v/>
      </c>
      <c r="F1212" s="14" t="str">
        <f aca="false">IF(A1212="","",IF(C1212="","",D1212*B1212*C1212))</f>
        <v/>
      </c>
      <c r="G1212" s="14" t="str">
        <f aca="false">IF(F1212="","",F1212-E1212)</f>
        <v/>
      </c>
      <c r="H1212" s="14" t="str">
        <f aca="false">IF(F1212="","",IFERROR(F1212-F1211-(E1212-E1211),0))</f>
        <v/>
      </c>
    </row>
    <row r="1213" customFormat="false" ht="15" hidden="false" customHeight="false" outlineLevel="0" collapsed="false">
      <c r="A1213" s="13" t="str">
        <f aca="false">IF(Prices!A1213="","",Prices!A1213)</f>
        <v/>
      </c>
      <c r="B1213" s="14" t="str">
        <f aca="false">IF(A1213="","",Prices!C1213)</f>
        <v/>
      </c>
      <c r="C1213" s="15" t="str">
        <f aca="false">IF(A1213="","",IFERROR(INDEX(FX!$B:$B,MATCH(A1213,FX!$A:$A,1)),""))</f>
        <v/>
      </c>
      <c r="D1213" s="14" t="str">
        <f aca="false">IF(A1213="","",SUMIFS(Transactions!$D:$D,Transactions!$A:$A,"&lt;="&amp;A1213,Transactions!$B:$B,Settings!$B$1))</f>
        <v/>
      </c>
      <c r="E1213" s="14" t="str">
        <f aca="false">IF(A1213="","",SUMIFS(Transactions!$C:$C,Transactions!$A:$A,"&lt;="&amp;A1213,Transactions!$B:$B,Settings!$B$1)+SUMIFS(Transactions!$F:$F,Transactions!$A:$A,"&lt;="&amp;A1213,Transactions!$B:$B,Settings!$B$1))</f>
        <v/>
      </c>
      <c r="F1213" s="14" t="str">
        <f aca="false">IF(A1213="","",IF(C1213="","",D1213*B1213*C1213))</f>
        <v/>
      </c>
      <c r="G1213" s="14" t="str">
        <f aca="false">IF(F1213="","",F1213-E1213)</f>
        <v/>
      </c>
      <c r="H1213" s="14" t="str">
        <f aca="false">IF(F1213="","",IFERROR(F1213-F1212-(E1213-E1212),0))</f>
        <v/>
      </c>
    </row>
    <row r="1214" customFormat="false" ht="15" hidden="false" customHeight="false" outlineLevel="0" collapsed="false">
      <c r="A1214" s="13" t="str">
        <f aca="false">IF(Prices!A1214="","",Prices!A1214)</f>
        <v/>
      </c>
      <c r="B1214" s="14" t="str">
        <f aca="false">IF(A1214="","",Prices!C1214)</f>
        <v/>
      </c>
      <c r="C1214" s="15" t="str">
        <f aca="false">IF(A1214="","",IFERROR(INDEX(FX!$B:$B,MATCH(A1214,FX!$A:$A,1)),""))</f>
        <v/>
      </c>
      <c r="D1214" s="14" t="str">
        <f aca="false">IF(A1214="","",SUMIFS(Transactions!$D:$D,Transactions!$A:$A,"&lt;="&amp;A1214,Transactions!$B:$B,Settings!$B$1))</f>
        <v/>
      </c>
      <c r="E1214" s="14" t="str">
        <f aca="false">IF(A1214="","",SUMIFS(Transactions!$C:$C,Transactions!$A:$A,"&lt;="&amp;A1214,Transactions!$B:$B,Settings!$B$1)+SUMIFS(Transactions!$F:$F,Transactions!$A:$A,"&lt;="&amp;A1214,Transactions!$B:$B,Settings!$B$1))</f>
        <v/>
      </c>
      <c r="F1214" s="14" t="str">
        <f aca="false">IF(A1214="","",IF(C1214="","",D1214*B1214*C1214))</f>
        <v/>
      </c>
      <c r="G1214" s="14" t="str">
        <f aca="false">IF(F1214="","",F1214-E1214)</f>
        <v/>
      </c>
      <c r="H1214" s="14" t="str">
        <f aca="false">IF(F1214="","",IFERROR(F1214-F1213-(E1214-E1213),0))</f>
        <v/>
      </c>
    </row>
    <row r="1215" customFormat="false" ht="15" hidden="false" customHeight="false" outlineLevel="0" collapsed="false">
      <c r="A1215" s="13" t="str">
        <f aca="false">IF(Prices!A1215="","",Prices!A1215)</f>
        <v/>
      </c>
      <c r="B1215" s="14" t="str">
        <f aca="false">IF(A1215="","",Prices!C1215)</f>
        <v/>
      </c>
      <c r="C1215" s="15" t="str">
        <f aca="false">IF(A1215="","",IFERROR(INDEX(FX!$B:$B,MATCH(A1215,FX!$A:$A,1)),""))</f>
        <v/>
      </c>
      <c r="D1215" s="14" t="str">
        <f aca="false">IF(A1215="","",SUMIFS(Transactions!$D:$D,Transactions!$A:$A,"&lt;="&amp;A1215,Transactions!$B:$B,Settings!$B$1))</f>
        <v/>
      </c>
      <c r="E1215" s="14" t="str">
        <f aca="false">IF(A1215="","",SUMIFS(Transactions!$C:$C,Transactions!$A:$A,"&lt;="&amp;A1215,Transactions!$B:$B,Settings!$B$1)+SUMIFS(Transactions!$F:$F,Transactions!$A:$A,"&lt;="&amp;A1215,Transactions!$B:$B,Settings!$B$1))</f>
        <v/>
      </c>
      <c r="F1215" s="14" t="str">
        <f aca="false">IF(A1215="","",IF(C1215="","",D1215*B1215*C1215))</f>
        <v/>
      </c>
      <c r="G1215" s="14" t="str">
        <f aca="false">IF(F1215="","",F1215-E1215)</f>
        <v/>
      </c>
      <c r="H1215" s="14" t="str">
        <f aca="false">IF(F1215="","",IFERROR(F1215-F1214-(E1215-E1214),0))</f>
        <v/>
      </c>
    </row>
    <row r="1216" customFormat="false" ht="15" hidden="false" customHeight="false" outlineLevel="0" collapsed="false">
      <c r="A1216" s="13" t="str">
        <f aca="false">IF(Prices!A1216="","",Prices!A1216)</f>
        <v/>
      </c>
      <c r="B1216" s="14" t="str">
        <f aca="false">IF(A1216="","",Prices!C1216)</f>
        <v/>
      </c>
      <c r="C1216" s="15" t="str">
        <f aca="false">IF(A1216="","",IFERROR(INDEX(FX!$B:$B,MATCH(A1216,FX!$A:$A,1)),""))</f>
        <v/>
      </c>
      <c r="D1216" s="14" t="str">
        <f aca="false">IF(A1216="","",SUMIFS(Transactions!$D:$D,Transactions!$A:$A,"&lt;="&amp;A1216,Transactions!$B:$B,Settings!$B$1))</f>
        <v/>
      </c>
      <c r="E1216" s="14" t="str">
        <f aca="false">IF(A1216="","",SUMIFS(Transactions!$C:$C,Transactions!$A:$A,"&lt;="&amp;A1216,Transactions!$B:$B,Settings!$B$1)+SUMIFS(Transactions!$F:$F,Transactions!$A:$A,"&lt;="&amp;A1216,Transactions!$B:$B,Settings!$B$1))</f>
        <v/>
      </c>
      <c r="F1216" s="14" t="str">
        <f aca="false">IF(A1216="","",IF(C1216="","",D1216*B1216*C1216))</f>
        <v/>
      </c>
      <c r="G1216" s="14" t="str">
        <f aca="false">IF(F1216="","",F1216-E1216)</f>
        <v/>
      </c>
      <c r="H1216" s="14" t="str">
        <f aca="false">IF(F1216="","",IFERROR(F1216-F1215-(E1216-E1215),0))</f>
        <v/>
      </c>
    </row>
    <row r="1217" customFormat="false" ht="15" hidden="false" customHeight="false" outlineLevel="0" collapsed="false">
      <c r="A1217" s="13" t="str">
        <f aca="false">IF(Prices!A1217="","",Prices!A1217)</f>
        <v/>
      </c>
      <c r="B1217" s="14" t="str">
        <f aca="false">IF(A1217="","",Prices!C1217)</f>
        <v/>
      </c>
      <c r="C1217" s="15" t="str">
        <f aca="false">IF(A1217="","",IFERROR(INDEX(FX!$B:$B,MATCH(A1217,FX!$A:$A,1)),""))</f>
        <v/>
      </c>
      <c r="D1217" s="14" t="str">
        <f aca="false">IF(A1217="","",SUMIFS(Transactions!$D:$D,Transactions!$A:$A,"&lt;="&amp;A1217,Transactions!$B:$B,Settings!$B$1))</f>
        <v/>
      </c>
      <c r="E1217" s="14" t="str">
        <f aca="false">IF(A1217="","",SUMIFS(Transactions!$C:$C,Transactions!$A:$A,"&lt;="&amp;A1217,Transactions!$B:$B,Settings!$B$1)+SUMIFS(Transactions!$F:$F,Transactions!$A:$A,"&lt;="&amp;A1217,Transactions!$B:$B,Settings!$B$1))</f>
        <v/>
      </c>
      <c r="F1217" s="14" t="str">
        <f aca="false">IF(A1217="","",IF(C1217="","",D1217*B1217*C1217))</f>
        <v/>
      </c>
      <c r="G1217" s="14" t="str">
        <f aca="false">IF(F1217="","",F1217-E1217)</f>
        <v/>
      </c>
      <c r="H1217" s="14" t="str">
        <f aca="false">IF(F1217="","",IFERROR(F1217-F1216-(E1217-E1216),0))</f>
        <v/>
      </c>
    </row>
    <row r="1218" customFormat="false" ht="15" hidden="false" customHeight="false" outlineLevel="0" collapsed="false">
      <c r="A1218" s="13" t="str">
        <f aca="false">IF(Prices!A1218="","",Prices!A1218)</f>
        <v/>
      </c>
      <c r="B1218" s="14" t="str">
        <f aca="false">IF(A1218="","",Prices!C1218)</f>
        <v/>
      </c>
      <c r="C1218" s="15" t="str">
        <f aca="false">IF(A1218="","",IFERROR(INDEX(FX!$B:$B,MATCH(A1218,FX!$A:$A,1)),""))</f>
        <v/>
      </c>
      <c r="D1218" s="14" t="str">
        <f aca="false">IF(A1218="","",SUMIFS(Transactions!$D:$D,Transactions!$A:$A,"&lt;="&amp;A1218,Transactions!$B:$B,Settings!$B$1))</f>
        <v/>
      </c>
      <c r="E1218" s="14" t="str">
        <f aca="false">IF(A1218="","",SUMIFS(Transactions!$C:$C,Transactions!$A:$A,"&lt;="&amp;A1218,Transactions!$B:$B,Settings!$B$1)+SUMIFS(Transactions!$F:$F,Transactions!$A:$A,"&lt;="&amp;A1218,Transactions!$B:$B,Settings!$B$1))</f>
        <v/>
      </c>
      <c r="F1218" s="14" t="str">
        <f aca="false">IF(A1218="","",IF(C1218="","",D1218*B1218*C1218))</f>
        <v/>
      </c>
      <c r="G1218" s="14" t="str">
        <f aca="false">IF(F1218="","",F1218-E1218)</f>
        <v/>
      </c>
      <c r="H1218" s="14" t="str">
        <f aca="false">IF(F1218="","",IFERROR(F1218-F1217-(E1218-E1217),0))</f>
        <v/>
      </c>
    </row>
    <row r="1219" customFormat="false" ht="15" hidden="false" customHeight="false" outlineLevel="0" collapsed="false">
      <c r="A1219" s="13" t="str">
        <f aca="false">IF(Prices!A1219="","",Prices!A1219)</f>
        <v/>
      </c>
      <c r="B1219" s="14" t="str">
        <f aca="false">IF(A1219="","",Prices!C1219)</f>
        <v/>
      </c>
      <c r="C1219" s="15" t="str">
        <f aca="false">IF(A1219="","",IFERROR(INDEX(FX!$B:$B,MATCH(A1219,FX!$A:$A,1)),""))</f>
        <v/>
      </c>
      <c r="D1219" s="14" t="str">
        <f aca="false">IF(A1219="","",SUMIFS(Transactions!$D:$D,Transactions!$A:$A,"&lt;="&amp;A1219,Transactions!$B:$B,Settings!$B$1))</f>
        <v/>
      </c>
      <c r="E1219" s="14" t="str">
        <f aca="false">IF(A1219="","",SUMIFS(Transactions!$C:$C,Transactions!$A:$A,"&lt;="&amp;A1219,Transactions!$B:$B,Settings!$B$1)+SUMIFS(Transactions!$F:$F,Transactions!$A:$A,"&lt;="&amp;A1219,Transactions!$B:$B,Settings!$B$1))</f>
        <v/>
      </c>
      <c r="F1219" s="14" t="str">
        <f aca="false">IF(A1219="","",IF(C1219="","",D1219*B1219*C1219))</f>
        <v/>
      </c>
      <c r="G1219" s="14" t="str">
        <f aca="false">IF(F1219="","",F1219-E1219)</f>
        <v/>
      </c>
      <c r="H1219" s="14" t="str">
        <f aca="false">IF(F1219="","",IFERROR(F1219-F1218-(E1219-E1218),0))</f>
        <v/>
      </c>
    </row>
    <row r="1220" customFormat="false" ht="15" hidden="false" customHeight="false" outlineLevel="0" collapsed="false">
      <c r="A1220" s="13" t="str">
        <f aca="false">IF(Prices!A1220="","",Prices!A1220)</f>
        <v/>
      </c>
      <c r="B1220" s="14" t="str">
        <f aca="false">IF(A1220="","",Prices!C1220)</f>
        <v/>
      </c>
      <c r="C1220" s="15" t="str">
        <f aca="false">IF(A1220="","",IFERROR(INDEX(FX!$B:$B,MATCH(A1220,FX!$A:$A,1)),""))</f>
        <v/>
      </c>
      <c r="D1220" s="14" t="str">
        <f aca="false">IF(A1220="","",SUMIFS(Transactions!$D:$D,Transactions!$A:$A,"&lt;="&amp;A1220,Transactions!$B:$B,Settings!$B$1))</f>
        <v/>
      </c>
      <c r="E1220" s="14" t="str">
        <f aca="false">IF(A1220="","",SUMIFS(Transactions!$C:$C,Transactions!$A:$A,"&lt;="&amp;A1220,Transactions!$B:$B,Settings!$B$1)+SUMIFS(Transactions!$F:$F,Transactions!$A:$A,"&lt;="&amp;A1220,Transactions!$B:$B,Settings!$B$1))</f>
        <v/>
      </c>
      <c r="F1220" s="14" t="str">
        <f aca="false">IF(A1220="","",IF(C1220="","",D1220*B1220*C1220))</f>
        <v/>
      </c>
      <c r="G1220" s="14" t="str">
        <f aca="false">IF(F1220="","",F1220-E1220)</f>
        <v/>
      </c>
      <c r="H1220" s="14" t="str">
        <f aca="false">IF(F1220="","",IFERROR(F1220-F1219-(E1220-E1219),0))</f>
        <v/>
      </c>
    </row>
    <row r="1221" customFormat="false" ht="15" hidden="false" customHeight="false" outlineLevel="0" collapsed="false">
      <c r="A1221" s="13" t="str">
        <f aca="false">IF(Prices!A1221="","",Prices!A1221)</f>
        <v/>
      </c>
      <c r="B1221" s="14" t="str">
        <f aca="false">IF(A1221="","",Prices!C1221)</f>
        <v/>
      </c>
      <c r="C1221" s="15" t="str">
        <f aca="false">IF(A1221="","",IFERROR(INDEX(FX!$B:$B,MATCH(A1221,FX!$A:$A,1)),""))</f>
        <v/>
      </c>
      <c r="D1221" s="14" t="str">
        <f aca="false">IF(A1221="","",SUMIFS(Transactions!$D:$D,Transactions!$A:$A,"&lt;="&amp;A1221,Transactions!$B:$B,Settings!$B$1))</f>
        <v/>
      </c>
      <c r="E1221" s="14" t="str">
        <f aca="false">IF(A1221="","",SUMIFS(Transactions!$C:$C,Transactions!$A:$A,"&lt;="&amp;A1221,Transactions!$B:$B,Settings!$B$1)+SUMIFS(Transactions!$F:$F,Transactions!$A:$A,"&lt;="&amp;A1221,Transactions!$B:$B,Settings!$B$1))</f>
        <v/>
      </c>
      <c r="F1221" s="14" t="str">
        <f aca="false">IF(A1221="","",IF(C1221="","",D1221*B1221*C1221))</f>
        <v/>
      </c>
      <c r="G1221" s="14" t="str">
        <f aca="false">IF(F1221="","",F1221-E1221)</f>
        <v/>
      </c>
      <c r="H1221" s="14" t="str">
        <f aca="false">IF(F1221="","",IFERROR(F1221-F1220-(E1221-E1220),0))</f>
        <v/>
      </c>
    </row>
    <row r="1222" customFormat="false" ht="15" hidden="false" customHeight="false" outlineLevel="0" collapsed="false">
      <c r="A1222" s="13" t="str">
        <f aca="false">IF(Prices!A1222="","",Prices!A1222)</f>
        <v/>
      </c>
      <c r="B1222" s="14" t="str">
        <f aca="false">IF(A1222="","",Prices!C1222)</f>
        <v/>
      </c>
      <c r="C1222" s="15" t="str">
        <f aca="false">IF(A1222="","",IFERROR(INDEX(FX!$B:$B,MATCH(A1222,FX!$A:$A,1)),""))</f>
        <v/>
      </c>
      <c r="D1222" s="14" t="str">
        <f aca="false">IF(A1222="","",SUMIFS(Transactions!$D:$D,Transactions!$A:$A,"&lt;="&amp;A1222,Transactions!$B:$B,Settings!$B$1))</f>
        <v/>
      </c>
      <c r="E1222" s="14" t="str">
        <f aca="false">IF(A1222="","",SUMIFS(Transactions!$C:$C,Transactions!$A:$A,"&lt;="&amp;A1222,Transactions!$B:$B,Settings!$B$1)+SUMIFS(Transactions!$F:$F,Transactions!$A:$A,"&lt;="&amp;A1222,Transactions!$B:$B,Settings!$B$1))</f>
        <v/>
      </c>
      <c r="F1222" s="14" t="str">
        <f aca="false">IF(A1222="","",IF(C1222="","",D1222*B1222*C1222))</f>
        <v/>
      </c>
      <c r="G1222" s="14" t="str">
        <f aca="false">IF(F1222="","",F1222-E1222)</f>
        <v/>
      </c>
      <c r="H1222" s="14" t="str">
        <f aca="false">IF(F1222="","",IFERROR(F1222-F1221-(E1222-E1221),0))</f>
        <v/>
      </c>
    </row>
    <row r="1223" customFormat="false" ht="15" hidden="false" customHeight="false" outlineLevel="0" collapsed="false">
      <c r="A1223" s="13" t="str">
        <f aca="false">IF(Prices!A1223="","",Prices!A1223)</f>
        <v/>
      </c>
      <c r="B1223" s="14" t="str">
        <f aca="false">IF(A1223="","",Prices!C1223)</f>
        <v/>
      </c>
      <c r="C1223" s="15" t="str">
        <f aca="false">IF(A1223="","",IFERROR(INDEX(FX!$B:$B,MATCH(A1223,FX!$A:$A,1)),""))</f>
        <v/>
      </c>
      <c r="D1223" s="14" t="str">
        <f aca="false">IF(A1223="","",SUMIFS(Transactions!$D:$D,Transactions!$A:$A,"&lt;="&amp;A1223,Transactions!$B:$B,Settings!$B$1))</f>
        <v/>
      </c>
      <c r="E1223" s="14" t="str">
        <f aca="false">IF(A1223="","",SUMIFS(Transactions!$C:$C,Transactions!$A:$A,"&lt;="&amp;A1223,Transactions!$B:$B,Settings!$B$1)+SUMIFS(Transactions!$F:$F,Transactions!$A:$A,"&lt;="&amp;A1223,Transactions!$B:$B,Settings!$B$1))</f>
        <v/>
      </c>
      <c r="F1223" s="14" t="str">
        <f aca="false">IF(A1223="","",IF(C1223="","",D1223*B1223*C1223))</f>
        <v/>
      </c>
      <c r="G1223" s="14" t="str">
        <f aca="false">IF(F1223="","",F1223-E1223)</f>
        <v/>
      </c>
      <c r="H1223" s="14" t="str">
        <f aca="false">IF(F1223="","",IFERROR(F1223-F1222-(E1223-E1222),0))</f>
        <v/>
      </c>
    </row>
    <row r="1224" customFormat="false" ht="15" hidden="false" customHeight="false" outlineLevel="0" collapsed="false">
      <c r="A1224" s="13" t="str">
        <f aca="false">IF(Prices!A1224="","",Prices!A1224)</f>
        <v/>
      </c>
      <c r="B1224" s="14" t="str">
        <f aca="false">IF(A1224="","",Prices!C1224)</f>
        <v/>
      </c>
      <c r="C1224" s="15" t="str">
        <f aca="false">IF(A1224="","",IFERROR(INDEX(FX!$B:$B,MATCH(A1224,FX!$A:$A,1)),""))</f>
        <v/>
      </c>
      <c r="D1224" s="14" t="str">
        <f aca="false">IF(A1224="","",SUMIFS(Transactions!$D:$D,Transactions!$A:$A,"&lt;="&amp;A1224,Transactions!$B:$B,Settings!$B$1))</f>
        <v/>
      </c>
      <c r="E1224" s="14" t="str">
        <f aca="false">IF(A1224="","",SUMIFS(Transactions!$C:$C,Transactions!$A:$A,"&lt;="&amp;A1224,Transactions!$B:$B,Settings!$B$1)+SUMIFS(Transactions!$F:$F,Transactions!$A:$A,"&lt;="&amp;A1224,Transactions!$B:$B,Settings!$B$1))</f>
        <v/>
      </c>
      <c r="F1224" s="14" t="str">
        <f aca="false">IF(A1224="","",IF(C1224="","",D1224*B1224*C1224))</f>
        <v/>
      </c>
      <c r="G1224" s="14" t="str">
        <f aca="false">IF(F1224="","",F1224-E1224)</f>
        <v/>
      </c>
      <c r="H1224" s="14" t="str">
        <f aca="false">IF(F1224="","",IFERROR(F1224-F1223-(E1224-E1223),0))</f>
        <v/>
      </c>
    </row>
    <row r="1225" customFormat="false" ht="15" hidden="false" customHeight="false" outlineLevel="0" collapsed="false">
      <c r="A1225" s="13" t="str">
        <f aca="false">IF(Prices!A1225="","",Prices!A1225)</f>
        <v/>
      </c>
      <c r="B1225" s="14" t="str">
        <f aca="false">IF(A1225="","",Prices!C1225)</f>
        <v/>
      </c>
      <c r="C1225" s="15" t="str">
        <f aca="false">IF(A1225="","",IFERROR(INDEX(FX!$B:$B,MATCH(A1225,FX!$A:$A,1)),""))</f>
        <v/>
      </c>
      <c r="D1225" s="14" t="str">
        <f aca="false">IF(A1225="","",SUMIFS(Transactions!$D:$D,Transactions!$A:$A,"&lt;="&amp;A1225,Transactions!$B:$B,Settings!$B$1))</f>
        <v/>
      </c>
      <c r="E1225" s="14" t="str">
        <f aca="false">IF(A1225="","",SUMIFS(Transactions!$C:$C,Transactions!$A:$A,"&lt;="&amp;A1225,Transactions!$B:$B,Settings!$B$1)+SUMIFS(Transactions!$F:$F,Transactions!$A:$A,"&lt;="&amp;A1225,Transactions!$B:$B,Settings!$B$1))</f>
        <v/>
      </c>
      <c r="F1225" s="14" t="str">
        <f aca="false">IF(A1225="","",IF(C1225="","",D1225*B1225*C1225))</f>
        <v/>
      </c>
      <c r="G1225" s="14" t="str">
        <f aca="false">IF(F1225="","",F1225-E1225)</f>
        <v/>
      </c>
      <c r="H1225" s="14" t="str">
        <f aca="false">IF(F1225="","",IFERROR(F1225-F1224-(E1225-E1224),0))</f>
        <v/>
      </c>
    </row>
    <row r="1226" customFormat="false" ht="15" hidden="false" customHeight="false" outlineLevel="0" collapsed="false">
      <c r="A1226" s="13" t="str">
        <f aca="false">IF(Prices!A1226="","",Prices!A1226)</f>
        <v/>
      </c>
      <c r="B1226" s="14" t="str">
        <f aca="false">IF(A1226="","",Prices!C1226)</f>
        <v/>
      </c>
      <c r="C1226" s="15" t="str">
        <f aca="false">IF(A1226="","",IFERROR(INDEX(FX!$B:$B,MATCH(A1226,FX!$A:$A,1)),""))</f>
        <v/>
      </c>
      <c r="D1226" s="14" t="str">
        <f aca="false">IF(A1226="","",SUMIFS(Transactions!$D:$D,Transactions!$A:$A,"&lt;="&amp;A1226,Transactions!$B:$B,Settings!$B$1))</f>
        <v/>
      </c>
      <c r="E1226" s="14" t="str">
        <f aca="false">IF(A1226="","",SUMIFS(Transactions!$C:$C,Transactions!$A:$A,"&lt;="&amp;A1226,Transactions!$B:$B,Settings!$B$1)+SUMIFS(Transactions!$F:$F,Transactions!$A:$A,"&lt;="&amp;A1226,Transactions!$B:$B,Settings!$B$1))</f>
        <v/>
      </c>
      <c r="F1226" s="14" t="str">
        <f aca="false">IF(A1226="","",IF(C1226="","",D1226*B1226*C1226))</f>
        <v/>
      </c>
      <c r="G1226" s="14" t="str">
        <f aca="false">IF(F1226="","",F1226-E1226)</f>
        <v/>
      </c>
      <c r="H1226" s="14" t="str">
        <f aca="false">IF(F1226="","",IFERROR(F1226-F1225-(E1226-E1225),0))</f>
        <v/>
      </c>
    </row>
    <row r="1227" customFormat="false" ht="15" hidden="false" customHeight="false" outlineLevel="0" collapsed="false">
      <c r="A1227" s="13" t="str">
        <f aca="false">IF(Prices!A1227="","",Prices!A1227)</f>
        <v/>
      </c>
      <c r="B1227" s="14" t="str">
        <f aca="false">IF(A1227="","",Prices!C1227)</f>
        <v/>
      </c>
      <c r="C1227" s="15" t="str">
        <f aca="false">IF(A1227="","",IFERROR(INDEX(FX!$B:$B,MATCH(A1227,FX!$A:$A,1)),""))</f>
        <v/>
      </c>
      <c r="D1227" s="14" t="str">
        <f aca="false">IF(A1227="","",SUMIFS(Transactions!$D:$D,Transactions!$A:$A,"&lt;="&amp;A1227,Transactions!$B:$B,Settings!$B$1))</f>
        <v/>
      </c>
      <c r="E1227" s="14" t="str">
        <f aca="false">IF(A1227="","",SUMIFS(Transactions!$C:$C,Transactions!$A:$A,"&lt;="&amp;A1227,Transactions!$B:$B,Settings!$B$1)+SUMIFS(Transactions!$F:$F,Transactions!$A:$A,"&lt;="&amp;A1227,Transactions!$B:$B,Settings!$B$1))</f>
        <v/>
      </c>
      <c r="F1227" s="14" t="str">
        <f aca="false">IF(A1227="","",IF(C1227="","",D1227*B1227*C1227))</f>
        <v/>
      </c>
      <c r="G1227" s="14" t="str">
        <f aca="false">IF(F1227="","",F1227-E1227)</f>
        <v/>
      </c>
      <c r="H1227" s="14" t="str">
        <f aca="false">IF(F1227="","",IFERROR(F1227-F1226-(E1227-E1226),0))</f>
        <v/>
      </c>
    </row>
    <row r="1228" customFormat="false" ht="15" hidden="false" customHeight="false" outlineLevel="0" collapsed="false">
      <c r="A1228" s="13" t="str">
        <f aca="false">IF(Prices!A1228="","",Prices!A1228)</f>
        <v/>
      </c>
      <c r="B1228" s="14" t="str">
        <f aca="false">IF(A1228="","",Prices!C1228)</f>
        <v/>
      </c>
      <c r="C1228" s="15" t="str">
        <f aca="false">IF(A1228="","",IFERROR(INDEX(FX!$B:$B,MATCH(A1228,FX!$A:$A,1)),""))</f>
        <v/>
      </c>
      <c r="D1228" s="14" t="str">
        <f aca="false">IF(A1228="","",SUMIFS(Transactions!$D:$D,Transactions!$A:$A,"&lt;="&amp;A1228,Transactions!$B:$B,Settings!$B$1))</f>
        <v/>
      </c>
      <c r="E1228" s="14" t="str">
        <f aca="false">IF(A1228="","",SUMIFS(Transactions!$C:$C,Transactions!$A:$A,"&lt;="&amp;A1228,Transactions!$B:$B,Settings!$B$1)+SUMIFS(Transactions!$F:$F,Transactions!$A:$A,"&lt;="&amp;A1228,Transactions!$B:$B,Settings!$B$1))</f>
        <v/>
      </c>
      <c r="F1228" s="14" t="str">
        <f aca="false">IF(A1228="","",IF(C1228="","",D1228*B1228*C1228))</f>
        <v/>
      </c>
      <c r="G1228" s="14" t="str">
        <f aca="false">IF(F1228="","",F1228-E1228)</f>
        <v/>
      </c>
      <c r="H1228" s="14" t="str">
        <f aca="false">IF(F1228="","",IFERROR(F1228-F1227-(E1228-E1227),0))</f>
        <v/>
      </c>
    </row>
    <row r="1229" customFormat="false" ht="15" hidden="false" customHeight="false" outlineLevel="0" collapsed="false">
      <c r="A1229" s="13" t="str">
        <f aca="false">IF(Prices!A1229="","",Prices!A1229)</f>
        <v/>
      </c>
      <c r="B1229" s="14" t="str">
        <f aca="false">IF(A1229="","",Prices!C1229)</f>
        <v/>
      </c>
      <c r="C1229" s="15" t="str">
        <f aca="false">IF(A1229="","",IFERROR(INDEX(FX!$B:$B,MATCH(A1229,FX!$A:$A,1)),""))</f>
        <v/>
      </c>
      <c r="D1229" s="14" t="str">
        <f aca="false">IF(A1229="","",SUMIFS(Transactions!$D:$D,Transactions!$A:$A,"&lt;="&amp;A1229,Transactions!$B:$B,Settings!$B$1))</f>
        <v/>
      </c>
      <c r="E1229" s="14" t="str">
        <f aca="false">IF(A1229="","",SUMIFS(Transactions!$C:$C,Transactions!$A:$A,"&lt;="&amp;A1229,Transactions!$B:$B,Settings!$B$1)+SUMIFS(Transactions!$F:$F,Transactions!$A:$A,"&lt;="&amp;A1229,Transactions!$B:$B,Settings!$B$1))</f>
        <v/>
      </c>
      <c r="F1229" s="14" t="str">
        <f aca="false">IF(A1229="","",IF(C1229="","",D1229*B1229*C1229))</f>
        <v/>
      </c>
      <c r="G1229" s="14" t="str">
        <f aca="false">IF(F1229="","",F1229-E1229)</f>
        <v/>
      </c>
      <c r="H1229" s="14" t="str">
        <f aca="false">IF(F1229="","",IFERROR(F1229-F1228-(E1229-E1228),0))</f>
        <v/>
      </c>
    </row>
    <row r="1230" customFormat="false" ht="15" hidden="false" customHeight="false" outlineLevel="0" collapsed="false">
      <c r="A1230" s="13" t="str">
        <f aca="false">IF(Prices!A1230="","",Prices!A1230)</f>
        <v/>
      </c>
      <c r="B1230" s="14" t="str">
        <f aca="false">IF(A1230="","",Prices!C1230)</f>
        <v/>
      </c>
      <c r="C1230" s="15" t="str">
        <f aca="false">IF(A1230="","",IFERROR(INDEX(FX!$B:$B,MATCH(A1230,FX!$A:$A,1)),""))</f>
        <v/>
      </c>
      <c r="D1230" s="14" t="str">
        <f aca="false">IF(A1230="","",SUMIFS(Transactions!$D:$D,Transactions!$A:$A,"&lt;="&amp;A1230,Transactions!$B:$B,Settings!$B$1))</f>
        <v/>
      </c>
      <c r="E1230" s="14" t="str">
        <f aca="false">IF(A1230="","",SUMIFS(Transactions!$C:$C,Transactions!$A:$A,"&lt;="&amp;A1230,Transactions!$B:$B,Settings!$B$1)+SUMIFS(Transactions!$F:$F,Transactions!$A:$A,"&lt;="&amp;A1230,Transactions!$B:$B,Settings!$B$1))</f>
        <v/>
      </c>
      <c r="F1230" s="14" t="str">
        <f aca="false">IF(A1230="","",IF(C1230="","",D1230*B1230*C1230))</f>
        <v/>
      </c>
      <c r="G1230" s="14" t="str">
        <f aca="false">IF(F1230="","",F1230-E1230)</f>
        <v/>
      </c>
      <c r="H1230" s="14" t="str">
        <f aca="false">IF(F1230="","",IFERROR(F1230-F1229-(E1230-E1229),0))</f>
        <v/>
      </c>
    </row>
    <row r="1231" customFormat="false" ht="15" hidden="false" customHeight="false" outlineLevel="0" collapsed="false">
      <c r="A1231" s="13" t="str">
        <f aca="false">IF(Prices!A1231="","",Prices!A1231)</f>
        <v/>
      </c>
      <c r="B1231" s="14" t="str">
        <f aca="false">IF(A1231="","",Prices!C1231)</f>
        <v/>
      </c>
      <c r="C1231" s="15" t="str">
        <f aca="false">IF(A1231="","",IFERROR(INDEX(FX!$B:$B,MATCH(A1231,FX!$A:$A,1)),""))</f>
        <v/>
      </c>
      <c r="D1231" s="14" t="str">
        <f aca="false">IF(A1231="","",SUMIFS(Transactions!$D:$D,Transactions!$A:$A,"&lt;="&amp;A1231,Transactions!$B:$B,Settings!$B$1))</f>
        <v/>
      </c>
      <c r="E1231" s="14" t="str">
        <f aca="false">IF(A1231="","",SUMIFS(Transactions!$C:$C,Transactions!$A:$A,"&lt;="&amp;A1231,Transactions!$B:$B,Settings!$B$1)+SUMIFS(Transactions!$F:$F,Transactions!$A:$A,"&lt;="&amp;A1231,Transactions!$B:$B,Settings!$B$1))</f>
        <v/>
      </c>
      <c r="F1231" s="14" t="str">
        <f aca="false">IF(A1231="","",IF(C1231="","",D1231*B1231*C1231))</f>
        <v/>
      </c>
      <c r="G1231" s="14" t="str">
        <f aca="false">IF(F1231="","",F1231-E1231)</f>
        <v/>
      </c>
      <c r="H1231" s="14" t="str">
        <f aca="false">IF(F1231="","",IFERROR(F1231-F1230-(E1231-E1230),0))</f>
        <v/>
      </c>
    </row>
    <row r="1232" customFormat="false" ht="15" hidden="false" customHeight="false" outlineLevel="0" collapsed="false">
      <c r="A1232" s="13" t="str">
        <f aca="false">IF(Prices!A1232="","",Prices!A1232)</f>
        <v/>
      </c>
      <c r="B1232" s="14" t="str">
        <f aca="false">IF(A1232="","",Prices!C1232)</f>
        <v/>
      </c>
      <c r="C1232" s="15" t="str">
        <f aca="false">IF(A1232="","",IFERROR(INDEX(FX!$B:$B,MATCH(A1232,FX!$A:$A,1)),""))</f>
        <v/>
      </c>
      <c r="D1232" s="14" t="str">
        <f aca="false">IF(A1232="","",SUMIFS(Transactions!$D:$D,Transactions!$A:$A,"&lt;="&amp;A1232,Transactions!$B:$B,Settings!$B$1))</f>
        <v/>
      </c>
      <c r="E1232" s="14" t="str">
        <f aca="false">IF(A1232="","",SUMIFS(Transactions!$C:$C,Transactions!$A:$A,"&lt;="&amp;A1232,Transactions!$B:$B,Settings!$B$1)+SUMIFS(Transactions!$F:$F,Transactions!$A:$A,"&lt;="&amp;A1232,Transactions!$B:$B,Settings!$B$1))</f>
        <v/>
      </c>
      <c r="F1232" s="14" t="str">
        <f aca="false">IF(A1232="","",IF(C1232="","",D1232*B1232*C1232))</f>
        <v/>
      </c>
      <c r="G1232" s="14" t="str">
        <f aca="false">IF(F1232="","",F1232-E1232)</f>
        <v/>
      </c>
      <c r="H1232" s="14" t="str">
        <f aca="false">IF(F1232="","",IFERROR(F1232-F1231-(E1232-E1231),0))</f>
        <v/>
      </c>
    </row>
    <row r="1233" customFormat="false" ht="15" hidden="false" customHeight="false" outlineLevel="0" collapsed="false">
      <c r="A1233" s="13" t="str">
        <f aca="false">IF(Prices!A1233="","",Prices!A1233)</f>
        <v/>
      </c>
      <c r="B1233" s="14" t="str">
        <f aca="false">IF(A1233="","",Prices!C1233)</f>
        <v/>
      </c>
      <c r="C1233" s="15" t="str">
        <f aca="false">IF(A1233="","",IFERROR(INDEX(FX!$B:$B,MATCH(A1233,FX!$A:$A,1)),""))</f>
        <v/>
      </c>
      <c r="D1233" s="14" t="str">
        <f aca="false">IF(A1233="","",SUMIFS(Transactions!$D:$D,Transactions!$A:$A,"&lt;="&amp;A1233,Transactions!$B:$B,Settings!$B$1))</f>
        <v/>
      </c>
      <c r="E1233" s="14" t="str">
        <f aca="false">IF(A1233="","",SUMIFS(Transactions!$C:$C,Transactions!$A:$A,"&lt;="&amp;A1233,Transactions!$B:$B,Settings!$B$1)+SUMIFS(Transactions!$F:$F,Transactions!$A:$A,"&lt;="&amp;A1233,Transactions!$B:$B,Settings!$B$1))</f>
        <v/>
      </c>
      <c r="F1233" s="14" t="str">
        <f aca="false">IF(A1233="","",IF(C1233="","",D1233*B1233*C1233))</f>
        <v/>
      </c>
      <c r="G1233" s="14" t="str">
        <f aca="false">IF(F1233="","",F1233-E1233)</f>
        <v/>
      </c>
      <c r="H1233" s="14" t="str">
        <f aca="false">IF(F1233="","",IFERROR(F1233-F1232-(E1233-E1232),0))</f>
        <v/>
      </c>
    </row>
    <row r="1234" customFormat="false" ht="15" hidden="false" customHeight="false" outlineLevel="0" collapsed="false">
      <c r="A1234" s="13" t="str">
        <f aca="false">IF(Prices!A1234="","",Prices!A1234)</f>
        <v/>
      </c>
      <c r="B1234" s="14" t="str">
        <f aca="false">IF(A1234="","",Prices!C1234)</f>
        <v/>
      </c>
      <c r="C1234" s="15" t="str">
        <f aca="false">IF(A1234="","",IFERROR(INDEX(FX!$B:$B,MATCH(A1234,FX!$A:$A,1)),""))</f>
        <v/>
      </c>
      <c r="D1234" s="14" t="str">
        <f aca="false">IF(A1234="","",SUMIFS(Transactions!$D:$D,Transactions!$A:$A,"&lt;="&amp;A1234,Transactions!$B:$B,Settings!$B$1))</f>
        <v/>
      </c>
      <c r="E1234" s="14" t="str">
        <f aca="false">IF(A1234="","",SUMIFS(Transactions!$C:$C,Transactions!$A:$A,"&lt;="&amp;A1234,Transactions!$B:$B,Settings!$B$1)+SUMIFS(Transactions!$F:$F,Transactions!$A:$A,"&lt;="&amp;A1234,Transactions!$B:$B,Settings!$B$1))</f>
        <v/>
      </c>
      <c r="F1234" s="14" t="str">
        <f aca="false">IF(A1234="","",IF(C1234="","",D1234*B1234*C1234))</f>
        <v/>
      </c>
      <c r="G1234" s="14" t="str">
        <f aca="false">IF(F1234="","",F1234-E1234)</f>
        <v/>
      </c>
      <c r="H1234" s="14" t="str">
        <f aca="false">IF(F1234="","",IFERROR(F1234-F1233-(E1234-E1233),0))</f>
        <v/>
      </c>
    </row>
    <row r="1235" customFormat="false" ht="15" hidden="false" customHeight="false" outlineLevel="0" collapsed="false">
      <c r="A1235" s="13" t="str">
        <f aca="false">IF(Prices!A1235="","",Prices!A1235)</f>
        <v/>
      </c>
      <c r="B1235" s="14" t="str">
        <f aca="false">IF(A1235="","",Prices!C1235)</f>
        <v/>
      </c>
      <c r="C1235" s="15" t="str">
        <f aca="false">IF(A1235="","",IFERROR(INDEX(FX!$B:$B,MATCH(A1235,FX!$A:$A,1)),""))</f>
        <v/>
      </c>
      <c r="D1235" s="14" t="str">
        <f aca="false">IF(A1235="","",SUMIFS(Transactions!$D:$D,Transactions!$A:$A,"&lt;="&amp;A1235,Transactions!$B:$B,Settings!$B$1))</f>
        <v/>
      </c>
      <c r="E1235" s="14" t="str">
        <f aca="false">IF(A1235="","",SUMIFS(Transactions!$C:$C,Transactions!$A:$A,"&lt;="&amp;A1235,Transactions!$B:$B,Settings!$B$1)+SUMIFS(Transactions!$F:$F,Transactions!$A:$A,"&lt;="&amp;A1235,Transactions!$B:$B,Settings!$B$1))</f>
        <v/>
      </c>
      <c r="F1235" s="14" t="str">
        <f aca="false">IF(A1235="","",IF(C1235="","",D1235*B1235*C1235))</f>
        <v/>
      </c>
      <c r="G1235" s="14" t="str">
        <f aca="false">IF(F1235="","",F1235-E1235)</f>
        <v/>
      </c>
      <c r="H1235" s="14" t="str">
        <f aca="false">IF(F1235="","",IFERROR(F1235-F1234-(E1235-E1234),0))</f>
        <v/>
      </c>
    </row>
    <row r="1236" customFormat="false" ht="15" hidden="false" customHeight="false" outlineLevel="0" collapsed="false">
      <c r="A1236" s="13" t="str">
        <f aca="false">IF(Prices!A1236="","",Prices!A1236)</f>
        <v/>
      </c>
      <c r="B1236" s="14" t="str">
        <f aca="false">IF(A1236="","",Prices!C1236)</f>
        <v/>
      </c>
      <c r="C1236" s="15" t="str">
        <f aca="false">IF(A1236="","",IFERROR(INDEX(FX!$B:$B,MATCH(A1236,FX!$A:$A,1)),""))</f>
        <v/>
      </c>
      <c r="D1236" s="14" t="str">
        <f aca="false">IF(A1236="","",SUMIFS(Transactions!$D:$D,Transactions!$A:$A,"&lt;="&amp;A1236,Transactions!$B:$B,Settings!$B$1))</f>
        <v/>
      </c>
      <c r="E1236" s="14" t="str">
        <f aca="false">IF(A1236="","",SUMIFS(Transactions!$C:$C,Transactions!$A:$A,"&lt;="&amp;A1236,Transactions!$B:$B,Settings!$B$1)+SUMIFS(Transactions!$F:$F,Transactions!$A:$A,"&lt;="&amp;A1236,Transactions!$B:$B,Settings!$B$1))</f>
        <v/>
      </c>
      <c r="F1236" s="14" t="str">
        <f aca="false">IF(A1236="","",IF(C1236="","",D1236*B1236*C1236))</f>
        <v/>
      </c>
      <c r="G1236" s="14" t="str">
        <f aca="false">IF(F1236="","",F1236-E1236)</f>
        <v/>
      </c>
      <c r="H1236" s="14" t="str">
        <f aca="false">IF(F1236="","",IFERROR(F1236-F1235-(E1236-E1235),0))</f>
        <v/>
      </c>
    </row>
    <row r="1237" customFormat="false" ht="15" hidden="false" customHeight="false" outlineLevel="0" collapsed="false">
      <c r="A1237" s="13" t="str">
        <f aca="false">IF(Prices!A1237="","",Prices!A1237)</f>
        <v/>
      </c>
      <c r="B1237" s="14" t="str">
        <f aca="false">IF(A1237="","",Prices!C1237)</f>
        <v/>
      </c>
      <c r="C1237" s="15" t="str">
        <f aca="false">IF(A1237="","",IFERROR(INDEX(FX!$B:$B,MATCH(A1237,FX!$A:$A,1)),""))</f>
        <v/>
      </c>
      <c r="D1237" s="14" t="str">
        <f aca="false">IF(A1237="","",SUMIFS(Transactions!$D:$D,Transactions!$A:$A,"&lt;="&amp;A1237,Transactions!$B:$B,Settings!$B$1))</f>
        <v/>
      </c>
      <c r="E1237" s="14" t="str">
        <f aca="false">IF(A1237="","",SUMIFS(Transactions!$C:$C,Transactions!$A:$A,"&lt;="&amp;A1237,Transactions!$B:$B,Settings!$B$1)+SUMIFS(Transactions!$F:$F,Transactions!$A:$A,"&lt;="&amp;A1237,Transactions!$B:$B,Settings!$B$1))</f>
        <v/>
      </c>
      <c r="F1237" s="14" t="str">
        <f aca="false">IF(A1237="","",IF(C1237="","",D1237*B1237*C1237))</f>
        <v/>
      </c>
      <c r="G1237" s="14" t="str">
        <f aca="false">IF(F1237="","",F1237-E1237)</f>
        <v/>
      </c>
      <c r="H1237" s="14" t="str">
        <f aca="false">IF(F1237="","",IFERROR(F1237-F1236-(E1237-E1236),0))</f>
        <v/>
      </c>
    </row>
    <row r="1238" customFormat="false" ht="15" hidden="false" customHeight="false" outlineLevel="0" collapsed="false">
      <c r="A1238" s="13" t="str">
        <f aca="false">IF(Prices!A1238="","",Prices!A1238)</f>
        <v/>
      </c>
      <c r="B1238" s="14" t="str">
        <f aca="false">IF(A1238="","",Prices!C1238)</f>
        <v/>
      </c>
      <c r="C1238" s="15" t="str">
        <f aca="false">IF(A1238="","",IFERROR(INDEX(FX!$B:$B,MATCH(A1238,FX!$A:$A,1)),""))</f>
        <v/>
      </c>
      <c r="D1238" s="14" t="str">
        <f aca="false">IF(A1238="","",SUMIFS(Transactions!$D:$D,Transactions!$A:$A,"&lt;="&amp;A1238,Transactions!$B:$B,Settings!$B$1))</f>
        <v/>
      </c>
      <c r="E1238" s="14" t="str">
        <f aca="false">IF(A1238="","",SUMIFS(Transactions!$C:$C,Transactions!$A:$A,"&lt;="&amp;A1238,Transactions!$B:$B,Settings!$B$1)+SUMIFS(Transactions!$F:$F,Transactions!$A:$A,"&lt;="&amp;A1238,Transactions!$B:$B,Settings!$B$1))</f>
        <v/>
      </c>
      <c r="F1238" s="14" t="str">
        <f aca="false">IF(A1238="","",IF(C1238="","",D1238*B1238*C1238))</f>
        <v/>
      </c>
      <c r="G1238" s="14" t="str">
        <f aca="false">IF(F1238="","",F1238-E1238)</f>
        <v/>
      </c>
      <c r="H1238" s="14" t="str">
        <f aca="false">IF(F1238="","",IFERROR(F1238-F1237-(E1238-E1237),0))</f>
        <v/>
      </c>
    </row>
    <row r="1239" customFormat="false" ht="15" hidden="false" customHeight="false" outlineLevel="0" collapsed="false">
      <c r="A1239" s="13" t="str">
        <f aca="false">IF(Prices!A1239="","",Prices!A1239)</f>
        <v/>
      </c>
      <c r="B1239" s="14" t="str">
        <f aca="false">IF(A1239="","",Prices!C1239)</f>
        <v/>
      </c>
      <c r="C1239" s="15" t="str">
        <f aca="false">IF(A1239="","",IFERROR(INDEX(FX!$B:$B,MATCH(A1239,FX!$A:$A,1)),""))</f>
        <v/>
      </c>
      <c r="D1239" s="14" t="str">
        <f aca="false">IF(A1239="","",SUMIFS(Transactions!$D:$D,Transactions!$A:$A,"&lt;="&amp;A1239,Transactions!$B:$B,Settings!$B$1))</f>
        <v/>
      </c>
      <c r="E1239" s="14" t="str">
        <f aca="false">IF(A1239="","",SUMIFS(Transactions!$C:$C,Transactions!$A:$A,"&lt;="&amp;A1239,Transactions!$B:$B,Settings!$B$1)+SUMIFS(Transactions!$F:$F,Transactions!$A:$A,"&lt;="&amp;A1239,Transactions!$B:$B,Settings!$B$1))</f>
        <v/>
      </c>
      <c r="F1239" s="14" t="str">
        <f aca="false">IF(A1239="","",IF(C1239="","",D1239*B1239*C1239))</f>
        <v/>
      </c>
      <c r="G1239" s="14" t="str">
        <f aca="false">IF(F1239="","",F1239-E1239)</f>
        <v/>
      </c>
      <c r="H1239" s="14" t="str">
        <f aca="false">IF(F1239="","",IFERROR(F1239-F1238-(E1239-E1238),0))</f>
        <v/>
      </c>
    </row>
    <row r="1240" customFormat="false" ht="15" hidden="false" customHeight="false" outlineLevel="0" collapsed="false">
      <c r="A1240" s="13" t="str">
        <f aca="false">IF(Prices!A1240="","",Prices!A1240)</f>
        <v/>
      </c>
      <c r="B1240" s="14" t="str">
        <f aca="false">IF(A1240="","",Prices!C1240)</f>
        <v/>
      </c>
      <c r="C1240" s="15" t="str">
        <f aca="false">IF(A1240="","",IFERROR(INDEX(FX!$B:$B,MATCH(A1240,FX!$A:$A,1)),""))</f>
        <v/>
      </c>
      <c r="D1240" s="14" t="str">
        <f aca="false">IF(A1240="","",SUMIFS(Transactions!$D:$D,Transactions!$A:$A,"&lt;="&amp;A1240,Transactions!$B:$B,Settings!$B$1))</f>
        <v/>
      </c>
      <c r="E1240" s="14" t="str">
        <f aca="false">IF(A1240="","",SUMIFS(Transactions!$C:$C,Transactions!$A:$A,"&lt;="&amp;A1240,Transactions!$B:$B,Settings!$B$1)+SUMIFS(Transactions!$F:$F,Transactions!$A:$A,"&lt;="&amp;A1240,Transactions!$B:$B,Settings!$B$1))</f>
        <v/>
      </c>
      <c r="F1240" s="14" t="str">
        <f aca="false">IF(A1240="","",IF(C1240="","",D1240*B1240*C1240))</f>
        <v/>
      </c>
      <c r="G1240" s="14" t="str">
        <f aca="false">IF(F1240="","",F1240-E1240)</f>
        <v/>
      </c>
      <c r="H1240" s="14" t="str">
        <f aca="false">IF(F1240="","",IFERROR(F1240-F1239-(E1240-E1239),0))</f>
        <v/>
      </c>
    </row>
    <row r="1241" customFormat="false" ht="15" hidden="false" customHeight="false" outlineLevel="0" collapsed="false">
      <c r="A1241" s="13" t="str">
        <f aca="false">IF(Prices!A1241="","",Prices!A1241)</f>
        <v/>
      </c>
      <c r="B1241" s="14" t="str">
        <f aca="false">IF(A1241="","",Prices!C1241)</f>
        <v/>
      </c>
      <c r="C1241" s="15" t="str">
        <f aca="false">IF(A1241="","",IFERROR(INDEX(FX!$B:$B,MATCH(A1241,FX!$A:$A,1)),""))</f>
        <v/>
      </c>
      <c r="D1241" s="14" t="str">
        <f aca="false">IF(A1241="","",SUMIFS(Transactions!$D:$D,Transactions!$A:$A,"&lt;="&amp;A1241,Transactions!$B:$B,Settings!$B$1))</f>
        <v/>
      </c>
      <c r="E1241" s="14" t="str">
        <f aca="false">IF(A1241="","",SUMIFS(Transactions!$C:$C,Transactions!$A:$A,"&lt;="&amp;A1241,Transactions!$B:$B,Settings!$B$1)+SUMIFS(Transactions!$F:$F,Transactions!$A:$A,"&lt;="&amp;A1241,Transactions!$B:$B,Settings!$B$1))</f>
        <v/>
      </c>
      <c r="F1241" s="14" t="str">
        <f aca="false">IF(A1241="","",IF(C1241="","",D1241*B1241*C1241))</f>
        <v/>
      </c>
      <c r="G1241" s="14" t="str">
        <f aca="false">IF(F1241="","",F1241-E1241)</f>
        <v/>
      </c>
      <c r="H1241" s="14" t="str">
        <f aca="false">IF(F1241="","",IFERROR(F1241-F1240-(E1241-E1240),0))</f>
        <v/>
      </c>
    </row>
    <row r="1242" customFormat="false" ht="15" hidden="false" customHeight="false" outlineLevel="0" collapsed="false">
      <c r="A1242" s="13" t="str">
        <f aca="false">IF(Prices!A1242="","",Prices!A1242)</f>
        <v/>
      </c>
      <c r="B1242" s="14" t="str">
        <f aca="false">IF(A1242="","",Prices!C1242)</f>
        <v/>
      </c>
      <c r="C1242" s="15" t="str">
        <f aca="false">IF(A1242="","",IFERROR(INDEX(FX!$B:$B,MATCH(A1242,FX!$A:$A,1)),""))</f>
        <v/>
      </c>
      <c r="D1242" s="14" t="str">
        <f aca="false">IF(A1242="","",SUMIFS(Transactions!$D:$D,Transactions!$A:$A,"&lt;="&amp;A1242,Transactions!$B:$B,Settings!$B$1))</f>
        <v/>
      </c>
      <c r="E1242" s="14" t="str">
        <f aca="false">IF(A1242="","",SUMIFS(Transactions!$C:$C,Transactions!$A:$A,"&lt;="&amp;A1242,Transactions!$B:$B,Settings!$B$1)+SUMIFS(Transactions!$F:$F,Transactions!$A:$A,"&lt;="&amp;A1242,Transactions!$B:$B,Settings!$B$1))</f>
        <v/>
      </c>
      <c r="F1242" s="14" t="str">
        <f aca="false">IF(A1242="","",IF(C1242="","",D1242*B1242*C1242))</f>
        <v/>
      </c>
      <c r="G1242" s="14" t="str">
        <f aca="false">IF(F1242="","",F1242-E1242)</f>
        <v/>
      </c>
      <c r="H1242" s="14" t="str">
        <f aca="false">IF(F1242="","",IFERROR(F1242-F1241-(E1242-E1241),0))</f>
        <v/>
      </c>
    </row>
    <row r="1243" customFormat="false" ht="15" hidden="false" customHeight="false" outlineLevel="0" collapsed="false">
      <c r="A1243" s="13" t="str">
        <f aca="false">IF(Prices!A1243="","",Prices!A1243)</f>
        <v/>
      </c>
      <c r="B1243" s="14" t="str">
        <f aca="false">IF(A1243="","",Prices!C1243)</f>
        <v/>
      </c>
      <c r="C1243" s="15" t="str">
        <f aca="false">IF(A1243="","",IFERROR(INDEX(FX!$B:$B,MATCH(A1243,FX!$A:$A,1)),""))</f>
        <v/>
      </c>
      <c r="D1243" s="14" t="str">
        <f aca="false">IF(A1243="","",SUMIFS(Transactions!$D:$D,Transactions!$A:$A,"&lt;="&amp;A1243,Transactions!$B:$B,Settings!$B$1))</f>
        <v/>
      </c>
      <c r="E1243" s="14" t="str">
        <f aca="false">IF(A1243="","",SUMIFS(Transactions!$C:$C,Transactions!$A:$A,"&lt;="&amp;A1243,Transactions!$B:$B,Settings!$B$1)+SUMIFS(Transactions!$F:$F,Transactions!$A:$A,"&lt;="&amp;A1243,Transactions!$B:$B,Settings!$B$1))</f>
        <v/>
      </c>
      <c r="F1243" s="14" t="str">
        <f aca="false">IF(A1243="","",IF(C1243="","",D1243*B1243*C1243))</f>
        <v/>
      </c>
      <c r="G1243" s="14" t="str">
        <f aca="false">IF(F1243="","",F1243-E1243)</f>
        <v/>
      </c>
      <c r="H1243" s="14" t="str">
        <f aca="false">IF(F1243="","",IFERROR(F1243-F1242-(E1243-E1242),0))</f>
        <v/>
      </c>
    </row>
    <row r="1244" customFormat="false" ht="15" hidden="false" customHeight="false" outlineLevel="0" collapsed="false">
      <c r="A1244" s="13" t="str">
        <f aca="false">IF(Prices!A1244="","",Prices!A1244)</f>
        <v/>
      </c>
      <c r="B1244" s="14" t="str">
        <f aca="false">IF(A1244="","",Prices!C1244)</f>
        <v/>
      </c>
      <c r="C1244" s="15" t="str">
        <f aca="false">IF(A1244="","",IFERROR(INDEX(FX!$B:$B,MATCH(A1244,FX!$A:$A,1)),""))</f>
        <v/>
      </c>
      <c r="D1244" s="14" t="str">
        <f aca="false">IF(A1244="","",SUMIFS(Transactions!$D:$D,Transactions!$A:$A,"&lt;="&amp;A1244,Transactions!$B:$B,Settings!$B$1))</f>
        <v/>
      </c>
      <c r="E1244" s="14" t="str">
        <f aca="false">IF(A1244="","",SUMIFS(Transactions!$C:$C,Transactions!$A:$A,"&lt;="&amp;A1244,Transactions!$B:$B,Settings!$B$1)+SUMIFS(Transactions!$F:$F,Transactions!$A:$A,"&lt;="&amp;A1244,Transactions!$B:$B,Settings!$B$1))</f>
        <v/>
      </c>
      <c r="F1244" s="14" t="str">
        <f aca="false">IF(A1244="","",IF(C1244="","",D1244*B1244*C1244))</f>
        <v/>
      </c>
      <c r="G1244" s="14" t="str">
        <f aca="false">IF(F1244="","",F1244-E1244)</f>
        <v/>
      </c>
      <c r="H1244" s="14" t="str">
        <f aca="false">IF(F1244="","",IFERROR(F1244-F1243-(E1244-E1243),0))</f>
        <v/>
      </c>
    </row>
    <row r="1245" customFormat="false" ht="15" hidden="false" customHeight="false" outlineLevel="0" collapsed="false">
      <c r="A1245" s="13" t="str">
        <f aca="false">IF(Prices!A1245="","",Prices!A1245)</f>
        <v/>
      </c>
      <c r="B1245" s="14" t="str">
        <f aca="false">IF(A1245="","",Prices!C1245)</f>
        <v/>
      </c>
      <c r="C1245" s="15" t="str">
        <f aca="false">IF(A1245="","",IFERROR(INDEX(FX!$B:$B,MATCH(A1245,FX!$A:$A,1)),""))</f>
        <v/>
      </c>
      <c r="D1245" s="14" t="str">
        <f aca="false">IF(A1245="","",SUMIFS(Transactions!$D:$D,Transactions!$A:$A,"&lt;="&amp;A1245,Transactions!$B:$B,Settings!$B$1))</f>
        <v/>
      </c>
      <c r="E1245" s="14" t="str">
        <f aca="false">IF(A1245="","",SUMIFS(Transactions!$C:$C,Transactions!$A:$A,"&lt;="&amp;A1245,Transactions!$B:$B,Settings!$B$1)+SUMIFS(Transactions!$F:$F,Transactions!$A:$A,"&lt;="&amp;A1245,Transactions!$B:$B,Settings!$B$1))</f>
        <v/>
      </c>
      <c r="F1245" s="14" t="str">
        <f aca="false">IF(A1245="","",IF(C1245="","",D1245*B1245*C1245))</f>
        <v/>
      </c>
      <c r="G1245" s="14" t="str">
        <f aca="false">IF(F1245="","",F1245-E1245)</f>
        <v/>
      </c>
      <c r="H1245" s="14" t="str">
        <f aca="false">IF(F1245="","",IFERROR(F1245-F1244-(E1245-E1244),0))</f>
        <v/>
      </c>
    </row>
    <row r="1246" customFormat="false" ht="15" hidden="false" customHeight="false" outlineLevel="0" collapsed="false">
      <c r="A1246" s="13" t="str">
        <f aca="false">IF(Prices!A1246="","",Prices!A1246)</f>
        <v/>
      </c>
      <c r="B1246" s="14" t="str">
        <f aca="false">IF(A1246="","",Prices!C1246)</f>
        <v/>
      </c>
      <c r="C1246" s="15" t="str">
        <f aca="false">IF(A1246="","",IFERROR(INDEX(FX!$B:$B,MATCH(A1246,FX!$A:$A,1)),""))</f>
        <v/>
      </c>
      <c r="D1246" s="14" t="str">
        <f aca="false">IF(A1246="","",SUMIFS(Transactions!$D:$D,Transactions!$A:$A,"&lt;="&amp;A1246,Transactions!$B:$B,Settings!$B$1))</f>
        <v/>
      </c>
      <c r="E1246" s="14" t="str">
        <f aca="false">IF(A1246="","",SUMIFS(Transactions!$C:$C,Transactions!$A:$A,"&lt;="&amp;A1246,Transactions!$B:$B,Settings!$B$1)+SUMIFS(Transactions!$F:$F,Transactions!$A:$A,"&lt;="&amp;A1246,Transactions!$B:$B,Settings!$B$1))</f>
        <v/>
      </c>
      <c r="F1246" s="14" t="str">
        <f aca="false">IF(A1246="","",IF(C1246="","",D1246*B1246*C1246))</f>
        <v/>
      </c>
      <c r="G1246" s="14" t="str">
        <f aca="false">IF(F1246="","",F1246-E1246)</f>
        <v/>
      </c>
      <c r="H1246" s="14" t="str">
        <f aca="false">IF(F1246="","",IFERROR(F1246-F1245-(E1246-E1245),0))</f>
        <v/>
      </c>
    </row>
    <row r="1247" customFormat="false" ht="15" hidden="false" customHeight="false" outlineLevel="0" collapsed="false">
      <c r="A1247" s="13" t="str">
        <f aca="false">IF(Prices!A1247="","",Prices!A1247)</f>
        <v/>
      </c>
      <c r="B1247" s="14" t="str">
        <f aca="false">IF(A1247="","",Prices!C1247)</f>
        <v/>
      </c>
      <c r="C1247" s="15" t="str">
        <f aca="false">IF(A1247="","",IFERROR(INDEX(FX!$B:$B,MATCH(A1247,FX!$A:$A,1)),""))</f>
        <v/>
      </c>
      <c r="D1247" s="14" t="str">
        <f aca="false">IF(A1247="","",SUMIFS(Transactions!$D:$D,Transactions!$A:$A,"&lt;="&amp;A1247,Transactions!$B:$B,Settings!$B$1))</f>
        <v/>
      </c>
      <c r="E1247" s="14" t="str">
        <f aca="false">IF(A1247="","",SUMIFS(Transactions!$C:$C,Transactions!$A:$A,"&lt;="&amp;A1247,Transactions!$B:$B,Settings!$B$1)+SUMIFS(Transactions!$F:$F,Transactions!$A:$A,"&lt;="&amp;A1247,Transactions!$B:$B,Settings!$B$1))</f>
        <v/>
      </c>
      <c r="F1247" s="14" t="str">
        <f aca="false">IF(A1247="","",IF(C1247="","",D1247*B1247*C1247))</f>
        <v/>
      </c>
      <c r="G1247" s="14" t="str">
        <f aca="false">IF(F1247="","",F1247-E1247)</f>
        <v/>
      </c>
      <c r="H1247" s="14" t="str">
        <f aca="false">IF(F1247="","",IFERROR(F1247-F1246-(E1247-E1246),0))</f>
        <v/>
      </c>
    </row>
    <row r="1248" customFormat="false" ht="15" hidden="false" customHeight="false" outlineLevel="0" collapsed="false">
      <c r="A1248" s="13" t="str">
        <f aca="false">IF(Prices!A1248="","",Prices!A1248)</f>
        <v/>
      </c>
      <c r="B1248" s="14" t="str">
        <f aca="false">IF(A1248="","",Prices!C1248)</f>
        <v/>
      </c>
      <c r="C1248" s="15" t="str">
        <f aca="false">IF(A1248="","",IFERROR(INDEX(FX!$B:$B,MATCH(A1248,FX!$A:$A,1)),""))</f>
        <v/>
      </c>
      <c r="D1248" s="14" t="str">
        <f aca="false">IF(A1248="","",SUMIFS(Transactions!$D:$D,Transactions!$A:$A,"&lt;="&amp;A1248,Transactions!$B:$B,Settings!$B$1))</f>
        <v/>
      </c>
      <c r="E1248" s="14" t="str">
        <f aca="false">IF(A1248="","",SUMIFS(Transactions!$C:$C,Transactions!$A:$A,"&lt;="&amp;A1248,Transactions!$B:$B,Settings!$B$1)+SUMIFS(Transactions!$F:$F,Transactions!$A:$A,"&lt;="&amp;A1248,Transactions!$B:$B,Settings!$B$1))</f>
        <v/>
      </c>
      <c r="F1248" s="14" t="str">
        <f aca="false">IF(A1248="","",IF(C1248="","",D1248*B1248*C1248))</f>
        <v/>
      </c>
      <c r="G1248" s="14" t="str">
        <f aca="false">IF(F1248="","",F1248-E1248)</f>
        <v/>
      </c>
      <c r="H1248" s="14" t="str">
        <f aca="false">IF(F1248="","",IFERROR(F1248-F1247-(E1248-E1247),0))</f>
        <v/>
      </c>
    </row>
    <row r="1249" customFormat="false" ht="15" hidden="false" customHeight="false" outlineLevel="0" collapsed="false">
      <c r="A1249" s="13" t="str">
        <f aca="false">IF(Prices!A1249="","",Prices!A1249)</f>
        <v/>
      </c>
      <c r="B1249" s="14" t="str">
        <f aca="false">IF(A1249="","",Prices!C1249)</f>
        <v/>
      </c>
      <c r="C1249" s="15" t="str">
        <f aca="false">IF(A1249="","",IFERROR(INDEX(FX!$B:$B,MATCH(A1249,FX!$A:$A,1)),""))</f>
        <v/>
      </c>
      <c r="D1249" s="14" t="str">
        <f aca="false">IF(A1249="","",SUMIFS(Transactions!$D:$D,Transactions!$A:$A,"&lt;="&amp;A1249,Transactions!$B:$B,Settings!$B$1))</f>
        <v/>
      </c>
      <c r="E1249" s="14" t="str">
        <f aca="false">IF(A1249="","",SUMIFS(Transactions!$C:$C,Transactions!$A:$A,"&lt;="&amp;A1249,Transactions!$B:$B,Settings!$B$1)+SUMIFS(Transactions!$F:$F,Transactions!$A:$A,"&lt;="&amp;A1249,Transactions!$B:$B,Settings!$B$1))</f>
        <v/>
      </c>
      <c r="F1249" s="14" t="str">
        <f aca="false">IF(A1249="","",IF(C1249="","",D1249*B1249*C1249))</f>
        <v/>
      </c>
      <c r="G1249" s="14" t="str">
        <f aca="false">IF(F1249="","",F1249-E1249)</f>
        <v/>
      </c>
      <c r="H1249" s="14" t="str">
        <f aca="false">IF(F1249="","",IFERROR(F1249-F1248-(E1249-E1248),0))</f>
        <v/>
      </c>
    </row>
    <row r="1250" customFormat="false" ht="15" hidden="false" customHeight="false" outlineLevel="0" collapsed="false">
      <c r="A1250" s="13" t="str">
        <f aca="false">IF(Prices!A1250="","",Prices!A1250)</f>
        <v/>
      </c>
      <c r="B1250" s="14" t="str">
        <f aca="false">IF(A1250="","",Prices!C1250)</f>
        <v/>
      </c>
      <c r="C1250" s="15" t="str">
        <f aca="false">IF(A1250="","",IFERROR(INDEX(FX!$B:$B,MATCH(A1250,FX!$A:$A,1)),""))</f>
        <v/>
      </c>
      <c r="D1250" s="14" t="str">
        <f aca="false">IF(A1250="","",SUMIFS(Transactions!$D:$D,Transactions!$A:$A,"&lt;="&amp;A1250,Transactions!$B:$B,Settings!$B$1))</f>
        <v/>
      </c>
      <c r="E1250" s="14" t="str">
        <f aca="false">IF(A1250="","",SUMIFS(Transactions!$C:$C,Transactions!$A:$A,"&lt;="&amp;A1250,Transactions!$B:$B,Settings!$B$1)+SUMIFS(Transactions!$F:$F,Transactions!$A:$A,"&lt;="&amp;A1250,Transactions!$B:$B,Settings!$B$1))</f>
        <v/>
      </c>
      <c r="F1250" s="14" t="str">
        <f aca="false">IF(A1250="","",IF(C1250="","",D1250*B1250*C1250))</f>
        <v/>
      </c>
      <c r="G1250" s="14" t="str">
        <f aca="false">IF(F1250="","",F1250-E1250)</f>
        <v/>
      </c>
      <c r="H1250" s="14" t="str">
        <f aca="false">IF(F1250="","",IFERROR(F1250-F1249-(E1250-E1249),0))</f>
        <v/>
      </c>
    </row>
    <row r="1251" customFormat="false" ht="15" hidden="false" customHeight="false" outlineLevel="0" collapsed="false">
      <c r="A1251" s="13" t="str">
        <f aca="false">IF(Prices!A1251="","",Prices!A1251)</f>
        <v/>
      </c>
      <c r="B1251" s="14" t="str">
        <f aca="false">IF(A1251="","",Prices!C1251)</f>
        <v/>
      </c>
      <c r="C1251" s="15" t="str">
        <f aca="false">IF(A1251="","",IFERROR(INDEX(FX!$B:$B,MATCH(A1251,FX!$A:$A,1)),""))</f>
        <v/>
      </c>
      <c r="D1251" s="14" t="str">
        <f aca="false">IF(A1251="","",SUMIFS(Transactions!$D:$D,Transactions!$A:$A,"&lt;="&amp;A1251,Transactions!$B:$B,Settings!$B$1))</f>
        <v/>
      </c>
      <c r="E1251" s="14" t="str">
        <f aca="false">IF(A1251="","",SUMIFS(Transactions!$C:$C,Transactions!$A:$A,"&lt;="&amp;A1251,Transactions!$B:$B,Settings!$B$1)+SUMIFS(Transactions!$F:$F,Transactions!$A:$A,"&lt;="&amp;A1251,Transactions!$B:$B,Settings!$B$1))</f>
        <v/>
      </c>
      <c r="F1251" s="14" t="str">
        <f aca="false">IF(A1251="","",IF(C1251="","",D1251*B1251*C1251))</f>
        <v/>
      </c>
      <c r="G1251" s="14" t="str">
        <f aca="false">IF(F1251="","",F1251-E1251)</f>
        <v/>
      </c>
      <c r="H1251" s="14" t="str">
        <f aca="false">IF(F1251="","",IFERROR(F1251-F1250-(E1251-E1250),0))</f>
        <v/>
      </c>
    </row>
    <row r="1252" customFormat="false" ht="15" hidden="false" customHeight="false" outlineLevel="0" collapsed="false">
      <c r="A1252" s="13" t="str">
        <f aca="false">IF(Prices!A1252="","",Prices!A1252)</f>
        <v/>
      </c>
      <c r="B1252" s="14" t="str">
        <f aca="false">IF(A1252="","",Prices!C1252)</f>
        <v/>
      </c>
      <c r="C1252" s="15" t="str">
        <f aca="false">IF(A1252="","",IFERROR(INDEX(FX!$B:$B,MATCH(A1252,FX!$A:$A,1)),""))</f>
        <v/>
      </c>
      <c r="D1252" s="14" t="str">
        <f aca="false">IF(A1252="","",SUMIFS(Transactions!$D:$D,Transactions!$A:$A,"&lt;="&amp;A1252,Transactions!$B:$B,Settings!$B$1))</f>
        <v/>
      </c>
      <c r="E1252" s="14" t="str">
        <f aca="false">IF(A1252="","",SUMIFS(Transactions!$C:$C,Transactions!$A:$A,"&lt;="&amp;A1252,Transactions!$B:$B,Settings!$B$1)+SUMIFS(Transactions!$F:$F,Transactions!$A:$A,"&lt;="&amp;A1252,Transactions!$B:$B,Settings!$B$1))</f>
        <v/>
      </c>
      <c r="F1252" s="14" t="str">
        <f aca="false">IF(A1252="","",IF(C1252="","",D1252*B1252*C1252))</f>
        <v/>
      </c>
      <c r="G1252" s="14" t="str">
        <f aca="false">IF(F1252="","",F1252-E1252)</f>
        <v/>
      </c>
      <c r="H1252" s="14" t="str">
        <f aca="false">IF(F1252="","",IFERROR(F1252-F1251-(E1252-E1251),0))</f>
        <v/>
      </c>
    </row>
    <row r="1253" customFormat="false" ht="15" hidden="false" customHeight="false" outlineLevel="0" collapsed="false">
      <c r="A1253" s="13" t="str">
        <f aca="false">IF(Prices!A1253="","",Prices!A1253)</f>
        <v/>
      </c>
      <c r="B1253" s="14" t="str">
        <f aca="false">IF(A1253="","",Prices!C1253)</f>
        <v/>
      </c>
      <c r="C1253" s="15" t="str">
        <f aca="false">IF(A1253="","",IFERROR(INDEX(FX!$B:$B,MATCH(A1253,FX!$A:$A,1)),""))</f>
        <v/>
      </c>
      <c r="D1253" s="14" t="str">
        <f aca="false">IF(A1253="","",SUMIFS(Transactions!$D:$D,Transactions!$A:$A,"&lt;="&amp;A1253,Transactions!$B:$B,Settings!$B$1))</f>
        <v/>
      </c>
      <c r="E1253" s="14" t="str">
        <f aca="false">IF(A1253="","",SUMIFS(Transactions!$C:$C,Transactions!$A:$A,"&lt;="&amp;A1253,Transactions!$B:$B,Settings!$B$1)+SUMIFS(Transactions!$F:$F,Transactions!$A:$A,"&lt;="&amp;A1253,Transactions!$B:$B,Settings!$B$1))</f>
        <v/>
      </c>
      <c r="F1253" s="14" t="str">
        <f aca="false">IF(A1253="","",IF(C1253="","",D1253*B1253*C1253))</f>
        <v/>
      </c>
      <c r="G1253" s="14" t="str">
        <f aca="false">IF(F1253="","",F1253-E1253)</f>
        <v/>
      </c>
      <c r="H1253" s="14" t="str">
        <f aca="false">IF(F1253="","",IFERROR(F1253-F1252-(E1253-E1252),0))</f>
        <v/>
      </c>
    </row>
    <row r="1254" customFormat="false" ht="15" hidden="false" customHeight="false" outlineLevel="0" collapsed="false">
      <c r="A1254" s="13" t="str">
        <f aca="false">IF(Prices!A1254="","",Prices!A1254)</f>
        <v/>
      </c>
      <c r="B1254" s="14" t="str">
        <f aca="false">IF(A1254="","",Prices!C1254)</f>
        <v/>
      </c>
      <c r="C1254" s="15" t="str">
        <f aca="false">IF(A1254="","",IFERROR(INDEX(FX!$B:$B,MATCH(A1254,FX!$A:$A,1)),""))</f>
        <v/>
      </c>
      <c r="D1254" s="14" t="str">
        <f aca="false">IF(A1254="","",SUMIFS(Transactions!$D:$D,Transactions!$A:$A,"&lt;="&amp;A1254,Transactions!$B:$B,Settings!$B$1))</f>
        <v/>
      </c>
      <c r="E1254" s="14" t="str">
        <f aca="false">IF(A1254="","",SUMIFS(Transactions!$C:$C,Transactions!$A:$A,"&lt;="&amp;A1254,Transactions!$B:$B,Settings!$B$1)+SUMIFS(Transactions!$F:$F,Transactions!$A:$A,"&lt;="&amp;A1254,Transactions!$B:$B,Settings!$B$1))</f>
        <v/>
      </c>
      <c r="F1254" s="14" t="str">
        <f aca="false">IF(A1254="","",IF(C1254="","",D1254*B1254*C1254))</f>
        <v/>
      </c>
      <c r="G1254" s="14" t="str">
        <f aca="false">IF(F1254="","",F1254-E1254)</f>
        <v/>
      </c>
      <c r="H1254" s="14" t="str">
        <f aca="false">IF(F1254="","",IFERROR(F1254-F1253-(E1254-E1253),0))</f>
        <v/>
      </c>
    </row>
    <row r="1255" customFormat="false" ht="15" hidden="false" customHeight="false" outlineLevel="0" collapsed="false">
      <c r="A1255" s="13" t="str">
        <f aca="false">IF(Prices!A1255="","",Prices!A1255)</f>
        <v/>
      </c>
      <c r="B1255" s="14" t="str">
        <f aca="false">IF(A1255="","",Prices!C1255)</f>
        <v/>
      </c>
      <c r="C1255" s="15" t="str">
        <f aca="false">IF(A1255="","",IFERROR(INDEX(FX!$B:$B,MATCH(A1255,FX!$A:$A,1)),""))</f>
        <v/>
      </c>
      <c r="D1255" s="14" t="str">
        <f aca="false">IF(A1255="","",SUMIFS(Transactions!$D:$D,Transactions!$A:$A,"&lt;="&amp;A1255,Transactions!$B:$B,Settings!$B$1))</f>
        <v/>
      </c>
      <c r="E1255" s="14" t="str">
        <f aca="false">IF(A1255="","",SUMIFS(Transactions!$C:$C,Transactions!$A:$A,"&lt;="&amp;A1255,Transactions!$B:$B,Settings!$B$1)+SUMIFS(Transactions!$F:$F,Transactions!$A:$A,"&lt;="&amp;A1255,Transactions!$B:$B,Settings!$B$1))</f>
        <v/>
      </c>
      <c r="F1255" s="14" t="str">
        <f aca="false">IF(A1255="","",IF(C1255="","",D1255*B1255*C1255))</f>
        <v/>
      </c>
      <c r="G1255" s="14" t="str">
        <f aca="false">IF(F1255="","",F1255-E1255)</f>
        <v/>
      </c>
      <c r="H1255" s="14" t="str">
        <f aca="false">IF(F1255="","",IFERROR(F1255-F1254-(E1255-E1254),0))</f>
        <v/>
      </c>
    </row>
    <row r="1256" customFormat="false" ht="15" hidden="false" customHeight="false" outlineLevel="0" collapsed="false">
      <c r="A1256" s="13" t="str">
        <f aca="false">IF(Prices!A1256="","",Prices!A1256)</f>
        <v/>
      </c>
      <c r="B1256" s="14" t="str">
        <f aca="false">IF(A1256="","",Prices!C1256)</f>
        <v/>
      </c>
      <c r="C1256" s="15" t="str">
        <f aca="false">IF(A1256="","",IFERROR(INDEX(FX!$B:$B,MATCH(A1256,FX!$A:$A,1)),""))</f>
        <v/>
      </c>
      <c r="D1256" s="14" t="str">
        <f aca="false">IF(A1256="","",SUMIFS(Transactions!$D:$D,Transactions!$A:$A,"&lt;="&amp;A1256,Transactions!$B:$B,Settings!$B$1))</f>
        <v/>
      </c>
      <c r="E1256" s="14" t="str">
        <f aca="false">IF(A1256="","",SUMIFS(Transactions!$C:$C,Transactions!$A:$A,"&lt;="&amp;A1256,Transactions!$B:$B,Settings!$B$1)+SUMIFS(Transactions!$F:$F,Transactions!$A:$A,"&lt;="&amp;A1256,Transactions!$B:$B,Settings!$B$1))</f>
        <v/>
      </c>
      <c r="F1256" s="14" t="str">
        <f aca="false">IF(A1256="","",IF(C1256="","",D1256*B1256*C1256))</f>
        <v/>
      </c>
      <c r="G1256" s="14" t="str">
        <f aca="false">IF(F1256="","",F1256-E1256)</f>
        <v/>
      </c>
      <c r="H1256" s="14" t="str">
        <f aca="false">IF(F1256="","",IFERROR(F1256-F1255-(E1256-E1255),0))</f>
        <v/>
      </c>
    </row>
    <row r="1257" customFormat="false" ht="15" hidden="false" customHeight="false" outlineLevel="0" collapsed="false">
      <c r="A1257" s="13" t="str">
        <f aca="false">IF(Prices!A1257="","",Prices!A1257)</f>
        <v/>
      </c>
      <c r="B1257" s="14" t="str">
        <f aca="false">IF(A1257="","",Prices!C1257)</f>
        <v/>
      </c>
      <c r="C1257" s="15" t="str">
        <f aca="false">IF(A1257="","",IFERROR(INDEX(FX!$B:$B,MATCH(A1257,FX!$A:$A,1)),""))</f>
        <v/>
      </c>
      <c r="D1257" s="14" t="str">
        <f aca="false">IF(A1257="","",SUMIFS(Transactions!$D:$D,Transactions!$A:$A,"&lt;="&amp;A1257,Transactions!$B:$B,Settings!$B$1))</f>
        <v/>
      </c>
      <c r="E1257" s="14" t="str">
        <f aca="false">IF(A1257="","",SUMIFS(Transactions!$C:$C,Transactions!$A:$A,"&lt;="&amp;A1257,Transactions!$B:$B,Settings!$B$1)+SUMIFS(Transactions!$F:$F,Transactions!$A:$A,"&lt;="&amp;A1257,Transactions!$B:$B,Settings!$B$1))</f>
        <v/>
      </c>
      <c r="F1257" s="14" t="str">
        <f aca="false">IF(A1257="","",IF(C1257="","",D1257*B1257*C1257))</f>
        <v/>
      </c>
      <c r="G1257" s="14" t="str">
        <f aca="false">IF(F1257="","",F1257-E1257)</f>
        <v/>
      </c>
      <c r="H1257" s="14" t="str">
        <f aca="false">IF(F1257="","",IFERROR(F1257-F1256-(E1257-E1256),0))</f>
        <v/>
      </c>
    </row>
    <row r="1258" customFormat="false" ht="15" hidden="false" customHeight="false" outlineLevel="0" collapsed="false">
      <c r="A1258" s="13" t="str">
        <f aca="false">IF(Prices!A1258="","",Prices!A1258)</f>
        <v/>
      </c>
      <c r="B1258" s="14" t="str">
        <f aca="false">IF(A1258="","",Prices!C1258)</f>
        <v/>
      </c>
      <c r="C1258" s="15" t="str">
        <f aca="false">IF(A1258="","",IFERROR(INDEX(FX!$B:$B,MATCH(A1258,FX!$A:$A,1)),""))</f>
        <v/>
      </c>
      <c r="D1258" s="14" t="str">
        <f aca="false">IF(A1258="","",SUMIFS(Transactions!$D:$D,Transactions!$A:$A,"&lt;="&amp;A1258,Transactions!$B:$B,Settings!$B$1))</f>
        <v/>
      </c>
      <c r="E1258" s="14" t="str">
        <f aca="false">IF(A1258="","",SUMIFS(Transactions!$C:$C,Transactions!$A:$A,"&lt;="&amp;A1258,Transactions!$B:$B,Settings!$B$1)+SUMIFS(Transactions!$F:$F,Transactions!$A:$A,"&lt;="&amp;A1258,Transactions!$B:$B,Settings!$B$1))</f>
        <v/>
      </c>
      <c r="F1258" s="14" t="str">
        <f aca="false">IF(A1258="","",IF(C1258="","",D1258*B1258*C1258))</f>
        <v/>
      </c>
      <c r="G1258" s="14" t="str">
        <f aca="false">IF(F1258="","",F1258-E1258)</f>
        <v/>
      </c>
      <c r="H1258" s="14" t="str">
        <f aca="false">IF(F1258="","",IFERROR(F1258-F1257-(E1258-E1257),0))</f>
        <v/>
      </c>
    </row>
    <row r="1259" customFormat="false" ht="15" hidden="false" customHeight="false" outlineLevel="0" collapsed="false">
      <c r="A1259" s="13" t="str">
        <f aca="false">IF(Prices!A1259="","",Prices!A1259)</f>
        <v/>
      </c>
      <c r="B1259" s="14" t="str">
        <f aca="false">IF(A1259="","",Prices!C1259)</f>
        <v/>
      </c>
      <c r="C1259" s="15" t="str">
        <f aca="false">IF(A1259="","",IFERROR(INDEX(FX!$B:$B,MATCH(A1259,FX!$A:$A,1)),""))</f>
        <v/>
      </c>
      <c r="D1259" s="14" t="str">
        <f aca="false">IF(A1259="","",SUMIFS(Transactions!$D:$D,Transactions!$A:$A,"&lt;="&amp;A1259,Transactions!$B:$B,Settings!$B$1))</f>
        <v/>
      </c>
      <c r="E1259" s="14" t="str">
        <f aca="false">IF(A1259="","",SUMIFS(Transactions!$C:$C,Transactions!$A:$A,"&lt;="&amp;A1259,Transactions!$B:$B,Settings!$B$1)+SUMIFS(Transactions!$F:$F,Transactions!$A:$A,"&lt;="&amp;A1259,Transactions!$B:$B,Settings!$B$1))</f>
        <v/>
      </c>
      <c r="F1259" s="14" t="str">
        <f aca="false">IF(A1259="","",IF(C1259="","",D1259*B1259*C1259))</f>
        <v/>
      </c>
      <c r="G1259" s="14" t="str">
        <f aca="false">IF(F1259="","",F1259-E1259)</f>
        <v/>
      </c>
      <c r="H1259" s="14" t="str">
        <f aca="false">IF(F1259="","",IFERROR(F1259-F1258-(E1259-E1258),0))</f>
        <v/>
      </c>
    </row>
    <row r="1260" customFormat="false" ht="15" hidden="false" customHeight="false" outlineLevel="0" collapsed="false">
      <c r="A1260" s="13" t="str">
        <f aca="false">IF(Prices!A1260="","",Prices!A1260)</f>
        <v/>
      </c>
      <c r="B1260" s="14" t="str">
        <f aca="false">IF(A1260="","",Prices!C1260)</f>
        <v/>
      </c>
      <c r="C1260" s="15" t="str">
        <f aca="false">IF(A1260="","",IFERROR(INDEX(FX!$B:$B,MATCH(A1260,FX!$A:$A,1)),""))</f>
        <v/>
      </c>
      <c r="D1260" s="14" t="str">
        <f aca="false">IF(A1260="","",SUMIFS(Transactions!$D:$D,Transactions!$A:$A,"&lt;="&amp;A1260,Transactions!$B:$B,Settings!$B$1))</f>
        <v/>
      </c>
      <c r="E1260" s="14" t="str">
        <f aca="false">IF(A1260="","",SUMIFS(Transactions!$C:$C,Transactions!$A:$A,"&lt;="&amp;A1260,Transactions!$B:$B,Settings!$B$1)+SUMIFS(Transactions!$F:$F,Transactions!$A:$A,"&lt;="&amp;A1260,Transactions!$B:$B,Settings!$B$1))</f>
        <v/>
      </c>
      <c r="F1260" s="14" t="str">
        <f aca="false">IF(A1260="","",IF(C1260="","",D1260*B1260*C1260))</f>
        <v/>
      </c>
      <c r="G1260" s="14" t="str">
        <f aca="false">IF(F1260="","",F1260-E1260)</f>
        <v/>
      </c>
      <c r="H1260" s="14" t="str">
        <f aca="false">IF(F1260="","",IFERROR(F1260-F1259-(E1260-E1259),0))</f>
        <v/>
      </c>
    </row>
    <row r="1261" customFormat="false" ht="15" hidden="false" customHeight="false" outlineLevel="0" collapsed="false">
      <c r="A1261" s="13" t="str">
        <f aca="false">IF(Prices!A1261="","",Prices!A1261)</f>
        <v/>
      </c>
      <c r="B1261" s="14" t="str">
        <f aca="false">IF(A1261="","",Prices!C1261)</f>
        <v/>
      </c>
      <c r="C1261" s="15" t="str">
        <f aca="false">IF(A1261="","",IFERROR(INDEX(FX!$B:$B,MATCH(A1261,FX!$A:$A,1)),""))</f>
        <v/>
      </c>
      <c r="D1261" s="14" t="str">
        <f aca="false">IF(A1261="","",SUMIFS(Transactions!$D:$D,Transactions!$A:$A,"&lt;="&amp;A1261,Transactions!$B:$B,Settings!$B$1))</f>
        <v/>
      </c>
      <c r="E1261" s="14" t="str">
        <f aca="false">IF(A1261="","",SUMIFS(Transactions!$C:$C,Transactions!$A:$A,"&lt;="&amp;A1261,Transactions!$B:$B,Settings!$B$1)+SUMIFS(Transactions!$F:$F,Transactions!$A:$A,"&lt;="&amp;A1261,Transactions!$B:$B,Settings!$B$1))</f>
        <v/>
      </c>
      <c r="F1261" s="14" t="str">
        <f aca="false">IF(A1261="","",IF(C1261="","",D1261*B1261*C1261))</f>
        <v/>
      </c>
      <c r="G1261" s="14" t="str">
        <f aca="false">IF(F1261="","",F1261-E1261)</f>
        <v/>
      </c>
      <c r="H1261" s="14" t="str">
        <f aca="false">IF(F1261="","",IFERROR(F1261-F1260-(E1261-E1260),0))</f>
        <v/>
      </c>
    </row>
    <row r="1262" customFormat="false" ht="15" hidden="false" customHeight="false" outlineLevel="0" collapsed="false">
      <c r="A1262" s="13" t="str">
        <f aca="false">IF(Prices!A1262="","",Prices!A1262)</f>
        <v/>
      </c>
      <c r="B1262" s="14" t="str">
        <f aca="false">IF(A1262="","",Prices!C1262)</f>
        <v/>
      </c>
      <c r="C1262" s="15" t="str">
        <f aca="false">IF(A1262="","",IFERROR(INDEX(FX!$B:$B,MATCH(A1262,FX!$A:$A,1)),""))</f>
        <v/>
      </c>
      <c r="D1262" s="14" t="str">
        <f aca="false">IF(A1262="","",SUMIFS(Transactions!$D:$D,Transactions!$A:$A,"&lt;="&amp;A1262,Transactions!$B:$B,Settings!$B$1))</f>
        <v/>
      </c>
      <c r="E1262" s="14" t="str">
        <f aca="false">IF(A1262="","",SUMIFS(Transactions!$C:$C,Transactions!$A:$A,"&lt;="&amp;A1262,Transactions!$B:$B,Settings!$B$1)+SUMIFS(Transactions!$F:$F,Transactions!$A:$A,"&lt;="&amp;A1262,Transactions!$B:$B,Settings!$B$1))</f>
        <v/>
      </c>
      <c r="F1262" s="14" t="str">
        <f aca="false">IF(A1262="","",IF(C1262="","",D1262*B1262*C1262))</f>
        <v/>
      </c>
      <c r="G1262" s="14" t="str">
        <f aca="false">IF(F1262="","",F1262-E1262)</f>
        <v/>
      </c>
      <c r="H1262" s="14" t="str">
        <f aca="false">IF(F1262="","",IFERROR(F1262-F1261-(E1262-E1261),0))</f>
        <v/>
      </c>
    </row>
    <row r="1263" customFormat="false" ht="15" hidden="false" customHeight="false" outlineLevel="0" collapsed="false">
      <c r="A1263" s="13" t="str">
        <f aca="false">IF(Prices!A1263="","",Prices!A1263)</f>
        <v/>
      </c>
      <c r="B1263" s="14" t="str">
        <f aca="false">IF(A1263="","",Prices!C1263)</f>
        <v/>
      </c>
      <c r="C1263" s="15" t="str">
        <f aca="false">IF(A1263="","",IFERROR(INDEX(FX!$B:$B,MATCH(A1263,FX!$A:$A,1)),""))</f>
        <v/>
      </c>
      <c r="D1263" s="14" t="str">
        <f aca="false">IF(A1263="","",SUMIFS(Transactions!$D:$D,Transactions!$A:$A,"&lt;="&amp;A1263,Transactions!$B:$B,Settings!$B$1))</f>
        <v/>
      </c>
      <c r="E1263" s="14" t="str">
        <f aca="false">IF(A1263="","",SUMIFS(Transactions!$C:$C,Transactions!$A:$A,"&lt;="&amp;A1263,Transactions!$B:$B,Settings!$B$1)+SUMIFS(Transactions!$F:$F,Transactions!$A:$A,"&lt;="&amp;A1263,Transactions!$B:$B,Settings!$B$1))</f>
        <v/>
      </c>
      <c r="F1263" s="14" t="str">
        <f aca="false">IF(A1263="","",IF(C1263="","",D1263*B1263*C1263))</f>
        <v/>
      </c>
      <c r="G1263" s="14" t="str">
        <f aca="false">IF(F1263="","",F1263-E1263)</f>
        <v/>
      </c>
      <c r="H1263" s="14" t="str">
        <f aca="false">IF(F1263="","",IFERROR(F1263-F1262-(E1263-E1262),0))</f>
        <v/>
      </c>
    </row>
    <row r="1264" customFormat="false" ht="15" hidden="false" customHeight="false" outlineLevel="0" collapsed="false">
      <c r="A1264" s="13" t="str">
        <f aca="false">IF(Prices!A1264="","",Prices!A1264)</f>
        <v/>
      </c>
      <c r="B1264" s="14" t="str">
        <f aca="false">IF(A1264="","",Prices!C1264)</f>
        <v/>
      </c>
      <c r="C1264" s="15" t="str">
        <f aca="false">IF(A1264="","",IFERROR(INDEX(FX!$B:$B,MATCH(A1264,FX!$A:$A,1)),""))</f>
        <v/>
      </c>
      <c r="D1264" s="14" t="str">
        <f aca="false">IF(A1264="","",SUMIFS(Transactions!$D:$D,Transactions!$A:$A,"&lt;="&amp;A1264,Transactions!$B:$B,Settings!$B$1))</f>
        <v/>
      </c>
      <c r="E1264" s="14" t="str">
        <f aca="false">IF(A1264="","",SUMIFS(Transactions!$C:$C,Transactions!$A:$A,"&lt;="&amp;A1264,Transactions!$B:$B,Settings!$B$1)+SUMIFS(Transactions!$F:$F,Transactions!$A:$A,"&lt;="&amp;A1264,Transactions!$B:$B,Settings!$B$1))</f>
        <v/>
      </c>
      <c r="F1264" s="14" t="str">
        <f aca="false">IF(A1264="","",IF(C1264="","",D1264*B1264*C1264))</f>
        <v/>
      </c>
      <c r="G1264" s="14" t="str">
        <f aca="false">IF(F1264="","",F1264-E1264)</f>
        <v/>
      </c>
      <c r="H1264" s="14" t="str">
        <f aca="false">IF(F1264="","",IFERROR(F1264-F1263-(E1264-E1263),0))</f>
        <v/>
      </c>
    </row>
    <row r="1265" customFormat="false" ht="15" hidden="false" customHeight="false" outlineLevel="0" collapsed="false">
      <c r="A1265" s="13" t="str">
        <f aca="false">IF(Prices!A1265="","",Prices!A1265)</f>
        <v/>
      </c>
      <c r="B1265" s="14" t="str">
        <f aca="false">IF(A1265="","",Prices!C1265)</f>
        <v/>
      </c>
      <c r="C1265" s="15" t="str">
        <f aca="false">IF(A1265="","",IFERROR(INDEX(FX!$B:$B,MATCH(A1265,FX!$A:$A,1)),""))</f>
        <v/>
      </c>
      <c r="D1265" s="14" t="str">
        <f aca="false">IF(A1265="","",SUMIFS(Transactions!$D:$D,Transactions!$A:$A,"&lt;="&amp;A1265,Transactions!$B:$B,Settings!$B$1))</f>
        <v/>
      </c>
      <c r="E1265" s="14" t="str">
        <f aca="false">IF(A1265="","",SUMIFS(Transactions!$C:$C,Transactions!$A:$A,"&lt;="&amp;A1265,Transactions!$B:$B,Settings!$B$1)+SUMIFS(Transactions!$F:$F,Transactions!$A:$A,"&lt;="&amp;A1265,Transactions!$B:$B,Settings!$B$1))</f>
        <v/>
      </c>
      <c r="F1265" s="14" t="str">
        <f aca="false">IF(A1265="","",IF(C1265="","",D1265*B1265*C1265))</f>
        <v/>
      </c>
      <c r="G1265" s="14" t="str">
        <f aca="false">IF(F1265="","",F1265-E1265)</f>
        <v/>
      </c>
      <c r="H1265" s="14" t="str">
        <f aca="false">IF(F1265="","",IFERROR(F1265-F1264-(E1265-E1264),0))</f>
        <v/>
      </c>
    </row>
    <row r="1266" customFormat="false" ht="15" hidden="false" customHeight="false" outlineLevel="0" collapsed="false">
      <c r="A1266" s="13" t="str">
        <f aca="false">IF(Prices!A1266="","",Prices!A1266)</f>
        <v/>
      </c>
      <c r="B1266" s="14" t="str">
        <f aca="false">IF(A1266="","",Prices!C1266)</f>
        <v/>
      </c>
      <c r="C1266" s="15" t="str">
        <f aca="false">IF(A1266="","",IFERROR(INDEX(FX!$B:$B,MATCH(A1266,FX!$A:$A,1)),""))</f>
        <v/>
      </c>
      <c r="D1266" s="14" t="str">
        <f aca="false">IF(A1266="","",SUMIFS(Transactions!$D:$D,Transactions!$A:$A,"&lt;="&amp;A1266,Transactions!$B:$B,Settings!$B$1))</f>
        <v/>
      </c>
      <c r="E1266" s="14" t="str">
        <f aca="false">IF(A1266="","",SUMIFS(Transactions!$C:$C,Transactions!$A:$A,"&lt;="&amp;A1266,Transactions!$B:$B,Settings!$B$1)+SUMIFS(Transactions!$F:$F,Transactions!$A:$A,"&lt;="&amp;A1266,Transactions!$B:$B,Settings!$B$1))</f>
        <v/>
      </c>
      <c r="F1266" s="14" t="str">
        <f aca="false">IF(A1266="","",IF(C1266="","",D1266*B1266*C1266))</f>
        <v/>
      </c>
      <c r="G1266" s="14" t="str">
        <f aca="false">IF(F1266="","",F1266-E1266)</f>
        <v/>
      </c>
      <c r="H1266" s="14" t="str">
        <f aca="false">IF(F1266="","",IFERROR(F1266-F1265-(E1266-E1265),0))</f>
        <v/>
      </c>
    </row>
    <row r="1267" customFormat="false" ht="15" hidden="false" customHeight="false" outlineLevel="0" collapsed="false">
      <c r="A1267" s="13" t="str">
        <f aca="false">IF(Prices!A1267="","",Prices!A1267)</f>
        <v/>
      </c>
      <c r="B1267" s="14" t="str">
        <f aca="false">IF(A1267="","",Prices!C1267)</f>
        <v/>
      </c>
      <c r="C1267" s="15" t="str">
        <f aca="false">IF(A1267="","",IFERROR(INDEX(FX!$B:$B,MATCH(A1267,FX!$A:$A,1)),""))</f>
        <v/>
      </c>
      <c r="D1267" s="14" t="str">
        <f aca="false">IF(A1267="","",SUMIFS(Transactions!$D:$D,Transactions!$A:$A,"&lt;="&amp;A1267,Transactions!$B:$B,Settings!$B$1))</f>
        <v/>
      </c>
      <c r="E1267" s="14" t="str">
        <f aca="false">IF(A1267="","",SUMIFS(Transactions!$C:$C,Transactions!$A:$A,"&lt;="&amp;A1267,Transactions!$B:$B,Settings!$B$1)+SUMIFS(Transactions!$F:$F,Transactions!$A:$A,"&lt;="&amp;A1267,Transactions!$B:$B,Settings!$B$1))</f>
        <v/>
      </c>
      <c r="F1267" s="14" t="str">
        <f aca="false">IF(A1267="","",IF(C1267="","",D1267*B1267*C1267))</f>
        <v/>
      </c>
      <c r="G1267" s="14" t="str">
        <f aca="false">IF(F1267="","",F1267-E1267)</f>
        <v/>
      </c>
      <c r="H1267" s="14" t="str">
        <f aca="false">IF(F1267="","",IFERROR(F1267-F1266-(E1267-E1266),0))</f>
        <v/>
      </c>
    </row>
    <row r="1268" customFormat="false" ht="15" hidden="false" customHeight="false" outlineLevel="0" collapsed="false">
      <c r="A1268" s="13" t="str">
        <f aca="false">IF(Prices!A1268="","",Prices!A1268)</f>
        <v/>
      </c>
      <c r="B1268" s="14" t="str">
        <f aca="false">IF(A1268="","",Prices!C1268)</f>
        <v/>
      </c>
      <c r="C1268" s="15" t="str">
        <f aca="false">IF(A1268="","",IFERROR(INDEX(FX!$B:$B,MATCH(A1268,FX!$A:$A,1)),""))</f>
        <v/>
      </c>
      <c r="D1268" s="14" t="str">
        <f aca="false">IF(A1268="","",SUMIFS(Transactions!$D:$D,Transactions!$A:$A,"&lt;="&amp;A1268,Transactions!$B:$B,Settings!$B$1))</f>
        <v/>
      </c>
      <c r="E1268" s="14" t="str">
        <f aca="false">IF(A1268="","",SUMIFS(Transactions!$C:$C,Transactions!$A:$A,"&lt;="&amp;A1268,Transactions!$B:$B,Settings!$B$1)+SUMIFS(Transactions!$F:$F,Transactions!$A:$A,"&lt;="&amp;A1268,Transactions!$B:$B,Settings!$B$1))</f>
        <v/>
      </c>
      <c r="F1268" s="14" t="str">
        <f aca="false">IF(A1268="","",IF(C1268="","",D1268*B1268*C1268))</f>
        <v/>
      </c>
      <c r="G1268" s="14" t="str">
        <f aca="false">IF(F1268="","",F1268-E1268)</f>
        <v/>
      </c>
      <c r="H1268" s="14" t="str">
        <f aca="false">IF(F1268="","",IFERROR(F1268-F1267-(E1268-E1267),0))</f>
        <v/>
      </c>
    </row>
    <row r="1269" customFormat="false" ht="15" hidden="false" customHeight="false" outlineLevel="0" collapsed="false">
      <c r="A1269" s="13" t="str">
        <f aca="false">IF(Prices!A1269="","",Prices!A1269)</f>
        <v/>
      </c>
      <c r="B1269" s="14" t="str">
        <f aca="false">IF(A1269="","",Prices!C1269)</f>
        <v/>
      </c>
      <c r="C1269" s="15" t="str">
        <f aca="false">IF(A1269="","",IFERROR(INDEX(FX!$B:$B,MATCH(A1269,FX!$A:$A,1)),""))</f>
        <v/>
      </c>
      <c r="D1269" s="14" t="str">
        <f aca="false">IF(A1269="","",SUMIFS(Transactions!$D:$D,Transactions!$A:$A,"&lt;="&amp;A1269,Transactions!$B:$B,Settings!$B$1))</f>
        <v/>
      </c>
      <c r="E1269" s="14" t="str">
        <f aca="false">IF(A1269="","",SUMIFS(Transactions!$C:$C,Transactions!$A:$A,"&lt;="&amp;A1269,Transactions!$B:$B,Settings!$B$1)+SUMIFS(Transactions!$F:$F,Transactions!$A:$A,"&lt;="&amp;A1269,Transactions!$B:$B,Settings!$B$1))</f>
        <v/>
      </c>
      <c r="F1269" s="14" t="str">
        <f aca="false">IF(A1269="","",IF(C1269="","",D1269*B1269*C1269))</f>
        <v/>
      </c>
      <c r="G1269" s="14" t="str">
        <f aca="false">IF(F1269="","",F1269-E1269)</f>
        <v/>
      </c>
      <c r="H1269" s="14" t="str">
        <f aca="false">IF(F1269="","",IFERROR(F1269-F1268-(E1269-E1268),0))</f>
        <v/>
      </c>
    </row>
    <row r="1270" customFormat="false" ht="15" hidden="false" customHeight="false" outlineLevel="0" collapsed="false">
      <c r="A1270" s="13" t="str">
        <f aca="false">IF(Prices!A1270="","",Prices!A1270)</f>
        <v/>
      </c>
      <c r="B1270" s="14" t="str">
        <f aca="false">IF(A1270="","",Prices!C1270)</f>
        <v/>
      </c>
      <c r="C1270" s="15" t="str">
        <f aca="false">IF(A1270="","",IFERROR(INDEX(FX!$B:$B,MATCH(A1270,FX!$A:$A,1)),""))</f>
        <v/>
      </c>
      <c r="D1270" s="14" t="str">
        <f aca="false">IF(A1270="","",SUMIFS(Transactions!$D:$D,Transactions!$A:$A,"&lt;="&amp;A1270,Transactions!$B:$B,Settings!$B$1))</f>
        <v/>
      </c>
      <c r="E1270" s="14" t="str">
        <f aca="false">IF(A1270="","",SUMIFS(Transactions!$C:$C,Transactions!$A:$A,"&lt;="&amp;A1270,Transactions!$B:$B,Settings!$B$1)+SUMIFS(Transactions!$F:$F,Transactions!$A:$A,"&lt;="&amp;A1270,Transactions!$B:$B,Settings!$B$1))</f>
        <v/>
      </c>
      <c r="F1270" s="14" t="str">
        <f aca="false">IF(A1270="","",IF(C1270="","",D1270*B1270*C1270))</f>
        <v/>
      </c>
      <c r="G1270" s="14" t="str">
        <f aca="false">IF(F1270="","",F1270-E1270)</f>
        <v/>
      </c>
      <c r="H1270" s="14" t="str">
        <f aca="false">IF(F1270="","",IFERROR(F1270-F1269-(E1270-E1269),0))</f>
        <v/>
      </c>
    </row>
    <row r="1271" customFormat="false" ht="15" hidden="false" customHeight="false" outlineLevel="0" collapsed="false">
      <c r="A1271" s="13" t="str">
        <f aca="false">IF(Prices!A1271="","",Prices!A1271)</f>
        <v/>
      </c>
      <c r="B1271" s="14" t="str">
        <f aca="false">IF(A1271="","",Prices!C1271)</f>
        <v/>
      </c>
      <c r="C1271" s="15" t="str">
        <f aca="false">IF(A1271="","",IFERROR(INDEX(FX!$B:$B,MATCH(A1271,FX!$A:$A,1)),""))</f>
        <v/>
      </c>
      <c r="D1271" s="14" t="str">
        <f aca="false">IF(A1271="","",SUMIFS(Transactions!$D:$D,Transactions!$A:$A,"&lt;="&amp;A1271,Transactions!$B:$B,Settings!$B$1))</f>
        <v/>
      </c>
      <c r="E1271" s="14" t="str">
        <f aca="false">IF(A1271="","",SUMIFS(Transactions!$C:$C,Transactions!$A:$A,"&lt;="&amp;A1271,Transactions!$B:$B,Settings!$B$1)+SUMIFS(Transactions!$F:$F,Transactions!$A:$A,"&lt;="&amp;A1271,Transactions!$B:$B,Settings!$B$1))</f>
        <v/>
      </c>
      <c r="F1271" s="14" t="str">
        <f aca="false">IF(A1271="","",IF(C1271="","",D1271*B1271*C1271))</f>
        <v/>
      </c>
      <c r="G1271" s="14" t="str">
        <f aca="false">IF(F1271="","",F1271-E1271)</f>
        <v/>
      </c>
      <c r="H1271" s="14" t="str">
        <f aca="false">IF(F1271="","",IFERROR(F1271-F1270-(E1271-E1270),0))</f>
        <v/>
      </c>
    </row>
    <row r="1272" customFormat="false" ht="15" hidden="false" customHeight="false" outlineLevel="0" collapsed="false">
      <c r="A1272" s="13" t="str">
        <f aca="false">IF(Prices!A1272="","",Prices!A1272)</f>
        <v/>
      </c>
      <c r="B1272" s="14" t="str">
        <f aca="false">IF(A1272="","",Prices!C1272)</f>
        <v/>
      </c>
      <c r="C1272" s="15" t="str">
        <f aca="false">IF(A1272="","",IFERROR(INDEX(FX!$B:$B,MATCH(A1272,FX!$A:$A,1)),""))</f>
        <v/>
      </c>
      <c r="D1272" s="14" t="str">
        <f aca="false">IF(A1272="","",SUMIFS(Transactions!$D:$D,Transactions!$A:$A,"&lt;="&amp;A1272,Transactions!$B:$B,Settings!$B$1))</f>
        <v/>
      </c>
      <c r="E1272" s="14" t="str">
        <f aca="false">IF(A1272="","",SUMIFS(Transactions!$C:$C,Transactions!$A:$A,"&lt;="&amp;A1272,Transactions!$B:$B,Settings!$B$1)+SUMIFS(Transactions!$F:$F,Transactions!$A:$A,"&lt;="&amp;A1272,Transactions!$B:$B,Settings!$B$1))</f>
        <v/>
      </c>
      <c r="F1272" s="14" t="str">
        <f aca="false">IF(A1272="","",IF(C1272="","",D1272*B1272*C1272))</f>
        <v/>
      </c>
      <c r="G1272" s="14" t="str">
        <f aca="false">IF(F1272="","",F1272-E1272)</f>
        <v/>
      </c>
      <c r="H1272" s="14" t="str">
        <f aca="false">IF(F1272="","",IFERROR(F1272-F1271-(E1272-E1271),0))</f>
        <v/>
      </c>
    </row>
    <row r="1273" customFormat="false" ht="15" hidden="false" customHeight="false" outlineLevel="0" collapsed="false">
      <c r="A1273" s="13" t="str">
        <f aca="false">IF(Prices!A1273="","",Prices!A1273)</f>
        <v/>
      </c>
      <c r="B1273" s="14" t="str">
        <f aca="false">IF(A1273="","",Prices!C1273)</f>
        <v/>
      </c>
      <c r="C1273" s="15" t="str">
        <f aca="false">IF(A1273="","",IFERROR(INDEX(FX!$B:$B,MATCH(A1273,FX!$A:$A,1)),""))</f>
        <v/>
      </c>
      <c r="D1273" s="14" t="str">
        <f aca="false">IF(A1273="","",SUMIFS(Transactions!$D:$D,Transactions!$A:$A,"&lt;="&amp;A1273,Transactions!$B:$B,Settings!$B$1))</f>
        <v/>
      </c>
      <c r="E1273" s="14" t="str">
        <f aca="false">IF(A1273="","",SUMIFS(Transactions!$C:$C,Transactions!$A:$A,"&lt;="&amp;A1273,Transactions!$B:$B,Settings!$B$1)+SUMIFS(Transactions!$F:$F,Transactions!$A:$A,"&lt;="&amp;A1273,Transactions!$B:$B,Settings!$B$1))</f>
        <v/>
      </c>
      <c r="F1273" s="14" t="str">
        <f aca="false">IF(A1273="","",IF(C1273="","",D1273*B1273*C1273))</f>
        <v/>
      </c>
      <c r="G1273" s="14" t="str">
        <f aca="false">IF(F1273="","",F1273-E1273)</f>
        <v/>
      </c>
      <c r="H1273" s="14" t="str">
        <f aca="false">IF(F1273="","",IFERROR(F1273-F1272-(E1273-E1272),0))</f>
        <v/>
      </c>
    </row>
    <row r="1274" customFormat="false" ht="15" hidden="false" customHeight="false" outlineLevel="0" collapsed="false">
      <c r="A1274" s="13" t="str">
        <f aca="false">IF(Prices!A1274="","",Prices!A1274)</f>
        <v/>
      </c>
      <c r="B1274" s="14" t="str">
        <f aca="false">IF(A1274="","",Prices!C1274)</f>
        <v/>
      </c>
      <c r="C1274" s="15" t="str">
        <f aca="false">IF(A1274="","",IFERROR(INDEX(FX!$B:$B,MATCH(A1274,FX!$A:$A,1)),""))</f>
        <v/>
      </c>
      <c r="D1274" s="14" t="str">
        <f aca="false">IF(A1274="","",SUMIFS(Transactions!$D:$D,Transactions!$A:$A,"&lt;="&amp;A1274,Transactions!$B:$B,Settings!$B$1))</f>
        <v/>
      </c>
      <c r="E1274" s="14" t="str">
        <f aca="false">IF(A1274="","",SUMIFS(Transactions!$C:$C,Transactions!$A:$A,"&lt;="&amp;A1274,Transactions!$B:$B,Settings!$B$1)+SUMIFS(Transactions!$F:$F,Transactions!$A:$A,"&lt;="&amp;A1274,Transactions!$B:$B,Settings!$B$1))</f>
        <v/>
      </c>
      <c r="F1274" s="14" t="str">
        <f aca="false">IF(A1274="","",IF(C1274="","",D1274*B1274*C1274))</f>
        <v/>
      </c>
      <c r="G1274" s="14" t="str">
        <f aca="false">IF(F1274="","",F1274-E1274)</f>
        <v/>
      </c>
      <c r="H1274" s="14" t="str">
        <f aca="false">IF(F1274="","",IFERROR(F1274-F1273-(E1274-E1273),0))</f>
        <v/>
      </c>
    </row>
    <row r="1275" customFormat="false" ht="15" hidden="false" customHeight="false" outlineLevel="0" collapsed="false">
      <c r="A1275" s="13" t="str">
        <f aca="false">IF(Prices!A1275="","",Prices!A1275)</f>
        <v/>
      </c>
      <c r="B1275" s="14" t="str">
        <f aca="false">IF(A1275="","",Prices!C1275)</f>
        <v/>
      </c>
      <c r="C1275" s="15" t="str">
        <f aca="false">IF(A1275="","",IFERROR(INDEX(FX!$B:$B,MATCH(A1275,FX!$A:$A,1)),""))</f>
        <v/>
      </c>
      <c r="D1275" s="14" t="str">
        <f aca="false">IF(A1275="","",SUMIFS(Transactions!$D:$D,Transactions!$A:$A,"&lt;="&amp;A1275,Transactions!$B:$B,Settings!$B$1))</f>
        <v/>
      </c>
      <c r="E1275" s="14" t="str">
        <f aca="false">IF(A1275="","",SUMIFS(Transactions!$C:$C,Transactions!$A:$A,"&lt;="&amp;A1275,Transactions!$B:$B,Settings!$B$1)+SUMIFS(Transactions!$F:$F,Transactions!$A:$A,"&lt;="&amp;A1275,Transactions!$B:$B,Settings!$B$1))</f>
        <v/>
      </c>
      <c r="F1275" s="14" t="str">
        <f aca="false">IF(A1275="","",IF(C1275="","",D1275*B1275*C1275))</f>
        <v/>
      </c>
      <c r="G1275" s="14" t="str">
        <f aca="false">IF(F1275="","",F1275-E1275)</f>
        <v/>
      </c>
      <c r="H1275" s="14" t="str">
        <f aca="false">IF(F1275="","",IFERROR(F1275-F1274-(E1275-E1274),0))</f>
        <v/>
      </c>
    </row>
    <row r="1276" customFormat="false" ht="15" hidden="false" customHeight="false" outlineLevel="0" collapsed="false">
      <c r="A1276" s="13" t="str">
        <f aca="false">IF(Prices!A1276="","",Prices!A1276)</f>
        <v/>
      </c>
      <c r="B1276" s="14" t="str">
        <f aca="false">IF(A1276="","",Prices!C1276)</f>
        <v/>
      </c>
      <c r="C1276" s="15" t="str">
        <f aca="false">IF(A1276="","",IFERROR(INDEX(FX!$B:$B,MATCH(A1276,FX!$A:$A,1)),""))</f>
        <v/>
      </c>
      <c r="D1276" s="14" t="str">
        <f aca="false">IF(A1276="","",SUMIFS(Transactions!$D:$D,Transactions!$A:$A,"&lt;="&amp;A1276,Transactions!$B:$B,Settings!$B$1))</f>
        <v/>
      </c>
      <c r="E1276" s="14" t="str">
        <f aca="false">IF(A1276="","",SUMIFS(Transactions!$C:$C,Transactions!$A:$A,"&lt;="&amp;A1276,Transactions!$B:$B,Settings!$B$1)+SUMIFS(Transactions!$F:$F,Transactions!$A:$A,"&lt;="&amp;A1276,Transactions!$B:$B,Settings!$B$1))</f>
        <v/>
      </c>
      <c r="F1276" s="14" t="str">
        <f aca="false">IF(A1276="","",IF(C1276="","",D1276*B1276*C1276))</f>
        <v/>
      </c>
      <c r="G1276" s="14" t="str">
        <f aca="false">IF(F1276="","",F1276-E1276)</f>
        <v/>
      </c>
      <c r="H1276" s="14" t="str">
        <f aca="false">IF(F1276="","",IFERROR(F1276-F1275-(E1276-E1275),0))</f>
        <v/>
      </c>
    </row>
    <row r="1277" customFormat="false" ht="15" hidden="false" customHeight="false" outlineLevel="0" collapsed="false">
      <c r="A1277" s="13" t="str">
        <f aca="false">IF(Prices!A1277="","",Prices!A1277)</f>
        <v/>
      </c>
      <c r="B1277" s="14" t="str">
        <f aca="false">IF(A1277="","",Prices!C1277)</f>
        <v/>
      </c>
      <c r="C1277" s="15" t="str">
        <f aca="false">IF(A1277="","",IFERROR(INDEX(FX!$B:$B,MATCH(A1277,FX!$A:$A,1)),""))</f>
        <v/>
      </c>
      <c r="D1277" s="14" t="str">
        <f aca="false">IF(A1277="","",SUMIFS(Transactions!$D:$D,Transactions!$A:$A,"&lt;="&amp;A1277,Transactions!$B:$B,Settings!$B$1))</f>
        <v/>
      </c>
      <c r="E1277" s="14" t="str">
        <f aca="false">IF(A1277="","",SUMIFS(Transactions!$C:$C,Transactions!$A:$A,"&lt;="&amp;A1277,Transactions!$B:$B,Settings!$B$1)+SUMIFS(Transactions!$F:$F,Transactions!$A:$A,"&lt;="&amp;A1277,Transactions!$B:$B,Settings!$B$1))</f>
        <v/>
      </c>
      <c r="F1277" s="14" t="str">
        <f aca="false">IF(A1277="","",IF(C1277="","",D1277*B1277*C1277))</f>
        <v/>
      </c>
      <c r="G1277" s="14" t="str">
        <f aca="false">IF(F1277="","",F1277-E1277)</f>
        <v/>
      </c>
      <c r="H1277" s="14" t="str">
        <f aca="false">IF(F1277="","",IFERROR(F1277-F1276-(E1277-E1276),0))</f>
        <v/>
      </c>
    </row>
    <row r="1278" customFormat="false" ht="15" hidden="false" customHeight="false" outlineLevel="0" collapsed="false">
      <c r="A1278" s="13" t="str">
        <f aca="false">IF(Prices!A1278="","",Prices!A1278)</f>
        <v/>
      </c>
      <c r="B1278" s="14" t="str">
        <f aca="false">IF(A1278="","",Prices!C1278)</f>
        <v/>
      </c>
      <c r="C1278" s="15" t="str">
        <f aca="false">IF(A1278="","",IFERROR(INDEX(FX!$B:$B,MATCH(A1278,FX!$A:$A,1)),""))</f>
        <v/>
      </c>
      <c r="D1278" s="14" t="str">
        <f aca="false">IF(A1278="","",SUMIFS(Transactions!$D:$D,Transactions!$A:$A,"&lt;="&amp;A1278,Transactions!$B:$B,Settings!$B$1))</f>
        <v/>
      </c>
      <c r="E1278" s="14" t="str">
        <f aca="false">IF(A1278="","",SUMIFS(Transactions!$C:$C,Transactions!$A:$A,"&lt;="&amp;A1278,Transactions!$B:$B,Settings!$B$1)+SUMIFS(Transactions!$F:$F,Transactions!$A:$A,"&lt;="&amp;A1278,Transactions!$B:$B,Settings!$B$1))</f>
        <v/>
      </c>
      <c r="F1278" s="14" t="str">
        <f aca="false">IF(A1278="","",IF(C1278="","",D1278*B1278*C1278))</f>
        <v/>
      </c>
      <c r="G1278" s="14" t="str">
        <f aca="false">IF(F1278="","",F1278-E1278)</f>
        <v/>
      </c>
      <c r="H1278" s="14" t="str">
        <f aca="false">IF(F1278="","",IFERROR(F1278-F1277-(E1278-E1277),0))</f>
        <v/>
      </c>
    </row>
    <row r="1279" customFormat="false" ht="15" hidden="false" customHeight="false" outlineLevel="0" collapsed="false">
      <c r="A1279" s="13" t="str">
        <f aca="false">IF(Prices!A1279="","",Prices!A1279)</f>
        <v/>
      </c>
      <c r="B1279" s="14" t="str">
        <f aca="false">IF(A1279="","",Prices!C1279)</f>
        <v/>
      </c>
      <c r="C1279" s="15" t="str">
        <f aca="false">IF(A1279="","",IFERROR(INDEX(FX!$B:$B,MATCH(A1279,FX!$A:$A,1)),""))</f>
        <v/>
      </c>
      <c r="D1279" s="14" t="str">
        <f aca="false">IF(A1279="","",SUMIFS(Transactions!$D:$D,Transactions!$A:$A,"&lt;="&amp;A1279,Transactions!$B:$B,Settings!$B$1))</f>
        <v/>
      </c>
      <c r="E1279" s="14" t="str">
        <f aca="false">IF(A1279="","",SUMIFS(Transactions!$C:$C,Transactions!$A:$A,"&lt;="&amp;A1279,Transactions!$B:$B,Settings!$B$1)+SUMIFS(Transactions!$F:$F,Transactions!$A:$A,"&lt;="&amp;A1279,Transactions!$B:$B,Settings!$B$1))</f>
        <v/>
      </c>
      <c r="F1279" s="14" t="str">
        <f aca="false">IF(A1279="","",IF(C1279="","",D1279*B1279*C1279))</f>
        <v/>
      </c>
      <c r="G1279" s="14" t="str">
        <f aca="false">IF(F1279="","",F1279-E1279)</f>
        <v/>
      </c>
      <c r="H1279" s="14" t="str">
        <f aca="false">IF(F1279="","",IFERROR(F1279-F1278-(E1279-E1278),0))</f>
        <v/>
      </c>
    </row>
    <row r="1280" customFormat="false" ht="15" hidden="false" customHeight="false" outlineLevel="0" collapsed="false">
      <c r="A1280" s="13" t="str">
        <f aca="false">IF(Prices!A1280="","",Prices!A1280)</f>
        <v/>
      </c>
      <c r="B1280" s="14" t="str">
        <f aca="false">IF(A1280="","",Prices!C1280)</f>
        <v/>
      </c>
      <c r="C1280" s="15" t="str">
        <f aca="false">IF(A1280="","",IFERROR(INDEX(FX!$B:$B,MATCH(A1280,FX!$A:$A,1)),""))</f>
        <v/>
      </c>
      <c r="D1280" s="14" t="str">
        <f aca="false">IF(A1280="","",SUMIFS(Transactions!$D:$D,Transactions!$A:$A,"&lt;="&amp;A1280,Transactions!$B:$B,Settings!$B$1))</f>
        <v/>
      </c>
      <c r="E1280" s="14" t="str">
        <f aca="false">IF(A1280="","",SUMIFS(Transactions!$C:$C,Transactions!$A:$A,"&lt;="&amp;A1280,Transactions!$B:$B,Settings!$B$1)+SUMIFS(Transactions!$F:$F,Transactions!$A:$A,"&lt;="&amp;A1280,Transactions!$B:$B,Settings!$B$1))</f>
        <v/>
      </c>
      <c r="F1280" s="14" t="str">
        <f aca="false">IF(A1280="","",IF(C1280="","",D1280*B1280*C1280))</f>
        <v/>
      </c>
      <c r="G1280" s="14" t="str">
        <f aca="false">IF(F1280="","",F1280-E1280)</f>
        <v/>
      </c>
      <c r="H1280" s="14" t="str">
        <f aca="false">IF(F1280="","",IFERROR(F1280-F1279-(E1280-E1279),0))</f>
        <v/>
      </c>
    </row>
    <row r="1281" customFormat="false" ht="15" hidden="false" customHeight="false" outlineLevel="0" collapsed="false">
      <c r="A1281" s="13" t="str">
        <f aca="false">IF(Prices!A1281="","",Prices!A1281)</f>
        <v/>
      </c>
      <c r="B1281" s="14" t="str">
        <f aca="false">IF(A1281="","",Prices!C1281)</f>
        <v/>
      </c>
      <c r="C1281" s="15" t="str">
        <f aca="false">IF(A1281="","",IFERROR(INDEX(FX!$B:$B,MATCH(A1281,FX!$A:$A,1)),""))</f>
        <v/>
      </c>
      <c r="D1281" s="14" t="str">
        <f aca="false">IF(A1281="","",SUMIFS(Transactions!$D:$D,Transactions!$A:$A,"&lt;="&amp;A1281,Transactions!$B:$B,Settings!$B$1))</f>
        <v/>
      </c>
      <c r="E1281" s="14" t="str">
        <f aca="false">IF(A1281="","",SUMIFS(Transactions!$C:$C,Transactions!$A:$A,"&lt;="&amp;A1281,Transactions!$B:$B,Settings!$B$1)+SUMIFS(Transactions!$F:$F,Transactions!$A:$A,"&lt;="&amp;A1281,Transactions!$B:$B,Settings!$B$1))</f>
        <v/>
      </c>
      <c r="F1281" s="14" t="str">
        <f aca="false">IF(A1281="","",IF(C1281="","",D1281*B1281*C1281))</f>
        <v/>
      </c>
      <c r="G1281" s="14" t="str">
        <f aca="false">IF(F1281="","",F1281-E1281)</f>
        <v/>
      </c>
      <c r="H1281" s="14" t="str">
        <f aca="false">IF(F1281="","",IFERROR(F1281-F1280-(E1281-E1280),0))</f>
        <v/>
      </c>
    </row>
    <row r="1282" customFormat="false" ht="15" hidden="false" customHeight="false" outlineLevel="0" collapsed="false">
      <c r="A1282" s="13" t="str">
        <f aca="false">IF(Prices!A1282="","",Prices!A1282)</f>
        <v/>
      </c>
      <c r="B1282" s="14" t="str">
        <f aca="false">IF(A1282="","",Prices!C1282)</f>
        <v/>
      </c>
      <c r="C1282" s="15" t="str">
        <f aca="false">IF(A1282="","",IFERROR(INDEX(FX!$B:$B,MATCH(A1282,FX!$A:$A,1)),""))</f>
        <v/>
      </c>
      <c r="D1282" s="14" t="str">
        <f aca="false">IF(A1282="","",SUMIFS(Transactions!$D:$D,Transactions!$A:$A,"&lt;="&amp;A1282,Transactions!$B:$B,Settings!$B$1))</f>
        <v/>
      </c>
      <c r="E1282" s="14" t="str">
        <f aca="false">IF(A1282="","",SUMIFS(Transactions!$C:$C,Transactions!$A:$A,"&lt;="&amp;A1282,Transactions!$B:$B,Settings!$B$1)+SUMIFS(Transactions!$F:$F,Transactions!$A:$A,"&lt;="&amp;A1282,Transactions!$B:$B,Settings!$B$1))</f>
        <v/>
      </c>
      <c r="F1282" s="14" t="str">
        <f aca="false">IF(A1282="","",IF(C1282="","",D1282*B1282*C1282))</f>
        <v/>
      </c>
      <c r="G1282" s="14" t="str">
        <f aca="false">IF(F1282="","",F1282-E1282)</f>
        <v/>
      </c>
      <c r="H1282" s="14" t="str">
        <f aca="false">IF(F1282="","",IFERROR(F1282-F1281-(E1282-E1281),0))</f>
        <v/>
      </c>
    </row>
    <row r="1283" customFormat="false" ht="15" hidden="false" customHeight="false" outlineLevel="0" collapsed="false">
      <c r="A1283" s="13" t="str">
        <f aca="false">IF(Prices!A1283="","",Prices!A1283)</f>
        <v/>
      </c>
      <c r="B1283" s="14" t="str">
        <f aca="false">IF(A1283="","",Prices!C1283)</f>
        <v/>
      </c>
      <c r="C1283" s="15" t="str">
        <f aca="false">IF(A1283="","",IFERROR(INDEX(FX!$B:$B,MATCH(A1283,FX!$A:$A,1)),""))</f>
        <v/>
      </c>
      <c r="D1283" s="14" t="str">
        <f aca="false">IF(A1283="","",SUMIFS(Transactions!$D:$D,Transactions!$A:$A,"&lt;="&amp;A1283,Transactions!$B:$B,Settings!$B$1))</f>
        <v/>
      </c>
      <c r="E1283" s="14" t="str">
        <f aca="false">IF(A1283="","",SUMIFS(Transactions!$C:$C,Transactions!$A:$A,"&lt;="&amp;A1283,Transactions!$B:$B,Settings!$B$1)+SUMIFS(Transactions!$F:$F,Transactions!$A:$A,"&lt;="&amp;A1283,Transactions!$B:$B,Settings!$B$1))</f>
        <v/>
      </c>
      <c r="F1283" s="14" t="str">
        <f aca="false">IF(A1283="","",IF(C1283="","",D1283*B1283*C1283))</f>
        <v/>
      </c>
      <c r="G1283" s="14" t="str">
        <f aca="false">IF(F1283="","",F1283-E1283)</f>
        <v/>
      </c>
      <c r="H1283" s="14" t="str">
        <f aca="false">IF(F1283="","",IFERROR(F1283-F1282-(E1283-E1282),0))</f>
        <v/>
      </c>
    </row>
    <row r="1284" customFormat="false" ht="15" hidden="false" customHeight="false" outlineLevel="0" collapsed="false">
      <c r="A1284" s="13" t="str">
        <f aca="false">IF(Prices!A1284="","",Prices!A1284)</f>
        <v/>
      </c>
      <c r="B1284" s="14" t="str">
        <f aca="false">IF(A1284="","",Prices!C1284)</f>
        <v/>
      </c>
      <c r="C1284" s="15" t="str">
        <f aca="false">IF(A1284="","",IFERROR(INDEX(FX!$B:$B,MATCH(A1284,FX!$A:$A,1)),""))</f>
        <v/>
      </c>
      <c r="D1284" s="14" t="str">
        <f aca="false">IF(A1284="","",SUMIFS(Transactions!$D:$D,Transactions!$A:$A,"&lt;="&amp;A1284,Transactions!$B:$B,Settings!$B$1))</f>
        <v/>
      </c>
      <c r="E1284" s="14" t="str">
        <f aca="false">IF(A1284="","",SUMIFS(Transactions!$C:$C,Transactions!$A:$A,"&lt;="&amp;A1284,Transactions!$B:$B,Settings!$B$1)+SUMIFS(Transactions!$F:$F,Transactions!$A:$A,"&lt;="&amp;A1284,Transactions!$B:$B,Settings!$B$1))</f>
        <v/>
      </c>
      <c r="F1284" s="14" t="str">
        <f aca="false">IF(A1284="","",IF(C1284="","",D1284*B1284*C1284))</f>
        <v/>
      </c>
      <c r="G1284" s="14" t="str">
        <f aca="false">IF(F1284="","",F1284-E1284)</f>
        <v/>
      </c>
      <c r="H1284" s="14" t="str">
        <f aca="false">IF(F1284="","",IFERROR(F1284-F1283-(E1284-E1283),0))</f>
        <v/>
      </c>
    </row>
    <row r="1285" customFormat="false" ht="15" hidden="false" customHeight="false" outlineLevel="0" collapsed="false">
      <c r="A1285" s="13" t="str">
        <f aca="false">IF(Prices!A1285="","",Prices!A1285)</f>
        <v/>
      </c>
      <c r="B1285" s="14" t="str">
        <f aca="false">IF(A1285="","",Prices!C1285)</f>
        <v/>
      </c>
      <c r="C1285" s="15" t="str">
        <f aca="false">IF(A1285="","",IFERROR(INDEX(FX!$B:$B,MATCH(A1285,FX!$A:$A,1)),""))</f>
        <v/>
      </c>
      <c r="D1285" s="14" t="str">
        <f aca="false">IF(A1285="","",SUMIFS(Transactions!$D:$D,Transactions!$A:$A,"&lt;="&amp;A1285,Transactions!$B:$B,Settings!$B$1))</f>
        <v/>
      </c>
      <c r="E1285" s="14" t="str">
        <f aca="false">IF(A1285="","",SUMIFS(Transactions!$C:$C,Transactions!$A:$A,"&lt;="&amp;A1285,Transactions!$B:$B,Settings!$B$1)+SUMIFS(Transactions!$F:$F,Transactions!$A:$A,"&lt;="&amp;A1285,Transactions!$B:$B,Settings!$B$1))</f>
        <v/>
      </c>
      <c r="F1285" s="14" t="str">
        <f aca="false">IF(A1285="","",IF(C1285="","",D1285*B1285*C1285))</f>
        <v/>
      </c>
      <c r="G1285" s="14" t="str">
        <f aca="false">IF(F1285="","",F1285-E1285)</f>
        <v/>
      </c>
      <c r="H1285" s="14" t="str">
        <f aca="false">IF(F1285="","",IFERROR(F1285-F1284-(E1285-E1284),0))</f>
        <v/>
      </c>
    </row>
    <row r="1286" customFormat="false" ht="15" hidden="false" customHeight="false" outlineLevel="0" collapsed="false">
      <c r="A1286" s="13" t="str">
        <f aca="false">IF(Prices!A1286="","",Prices!A1286)</f>
        <v/>
      </c>
      <c r="B1286" s="14" t="str">
        <f aca="false">IF(A1286="","",Prices!C1286)</f>
        <v/>
      </c>
      <c r="C1286" s="15" t="str">
        <f aca="false">IF(A1286="","",IFERROR(INDEX(FX!$B:$B,MATCH(A1286,FX!$A:$A,1)),""))</f>
        <v/>
      </c>
      <c r="D1286" s="14" t="str">
        <f aca="false">IF(A1286="","",SUMIFS(Transactions!$D:$D,Transactions!$A:$A,"&lt;="&amp;A1286,Transactions!$B:$B,Settings!$B$1))</f>
        <v/>
      </c>
      <c r="E1286" s="14" t="str">
        <f aca="false">IF(A1286="","",SUMIFS(Transactions!$C:$C,Transactions!$A:$A,"&lt;="&amp;A1286,Transactions!$B:$B,Settings!$B$1)+SUMIFS(Transactions!$F:$F,Transactions!$A:$A,"&lt;="&amp;A1286,Transactions!$B:$B,Settings!$B$1))</f>
        <v/>
      </c>
      <c r="F1286" s="14" t="str">
        <f aca="false">IF(A1286="","",IF(C1286="","",D1286*B1286*C1286))</f>
        <v/>
      </c>
      <c r="G1286" s="14" t="str">
        <f aca="false">IF(F1286="","",F1286-E1286)</f>
        <v/>
      </c>
      <c r="H1286" s="14" t="str">
        <f aca="false">IF(F1286="","",IFERROR(F1286-F1285-(E1286-E1285),0))</f>
        <v/>
      </c>
    </row>
    <row r="1287" customFormat="false" ht="15" hidden="false" customHeight="false" outlineLevel="0" collapsed="false">
      <c r="A1287" s="13" t="str">
        <f aca="false">IF(Prices!A1287="","",Prices!A1287)</f>
        <v/>
      </c>
      <c r="B1287" s="14" t="str">
        <f aca="false">IF(A1287="","",Prices!C1287)</f>
        <v/>
      </c>
      <c r="C1287" s="15" t="str">
        <f aca="false">IF(A1287="","",IFERROR(INDEX(FX!$B:$B,MATCH(A1287,FX!$A:$A,1)),""))</f>
        <v/>
      </c>
      <c r="D1287" s="14" t="str">
        <f aca="false">IF(A1287="","",SUMIFS(Transactions!$D:$D,Transactions!$A:$A,"&lt;="&amp;A1287,Transactions!$B:$B,Settings!$B$1))</f>
        <v/>
      </c>
      <c r="E1287" s="14" t="str">
        <f aca="false">IF(A1287="","",SUMIFS(Transactions!$C:$C,Transactions!$A:$A,"&lt;="&amp;A1287,Transactions!$B:$B,Settings!$B$1)+SUMIFS(Transactions!$F:$F,Transactions!$A:$A,"&lt;="&amp;A1287,Transactions!$B:$B,Settings!$B$1))</f>
        <v/>
      </c>
      <c r="F1287" s="14" t="str">
        <f aca="false">IF(A1287="","",IF(C1287="","",D1287*B1287*C1287))</f>
        <v/>
      </c>
      <c r="G1287" s="14" t="str">
        <f aca="false">IF(F1287="","",F1287-E1287)</f>
        <v/>
      </c>
      <c r="H1287" s="14" t="str">
        <f aca="false">IF(F1287="","",IFERROR(F1287-F1286-(E1287-E1286),0))</f>
        <v/>
      </c>
    </row>
    <row r="1288" customFormat="false" ht="15" hidden="false" customHeight="false" outlineLevel="0" collapsed="false">
      <c r="A1288" s="13" t="str">
        <f aca="false">IF(Prices!A1288="","",Prices!A1288)</f>
        <v/>
      </c>
      <c r="B1288" s="14" t="str">
        <f aca="false">IF(A1288="","",Prices!C1288)</f>
        <v/>
      </c>
      <c r="C1288" s="15" t="str">
        <f aca="false">IF(A1288="","",IFERROR(INDEX(FX!$B:$B,MATCH(A1288,FX!$A:$A,1)),""))</f>
        <v/>
      </c>
      <c r="D1288" s="14" t="str">
        <f aca="false">IF(A1288="","",SUMIFS(Transactions!$D:$D,Transactions!$A:$A,"&lt;="&amp;A1288,Transactions!$B:$B,Settings!$B$1))</f>
        <v/>
      </c>
      <c r="E1288" s="14" t="str">
        <f aca="false">IF(A1288="","",SUMIFS(Transactions!$C:$C,Transactions!$A:$A,"&lt;="&amp;A1288,Transactions!$B:$B,Settings!$B$1)+SUMIFS(Transactions!$F:$F,Transactions!$A:$A,"&lt;="&amp;A1288,Transactions!$B:$B,Settings!$B$1))</f>
        <v/>
      </c>
      <c r="F1288" s="14" t="str">
        <f aca="false">IF(A1288="","",IF(C1288="","",D1288*B1288*C1288))</f>
        <v/>
      </c>
      <c r="G1288" s="14" t="str">
        <f aca="false">IF(F1288="","",F1288-E1288)</f>
        <v/>
      </c>
      <c r="H1288" s="14" t="str">
        <f aca="false">IF(F1288="","",IFERROR(F1288-F1287-(E1288-E1287),0))</f>
        <v/>
      </c>
    </row>
    <row r="1289" customFormat="false" ht="15" hidden="false" customHeight="false" outlineLevel="0" collapsed="false">
      <c r="A1289" s="13" t="str">
        <f aca="false">IF(Prices!A1289="","",Prices!A1289)</f>
        <v/>
      </c>
      <c r="B1289" s="14" t="str">
        <f aca="false">IF(A1289="","",Prices!C1289)</f>
        <v/>
      </c>
      <c r="C1289" s="15" t="str">
        <f aca="false">IF(A1289="","",IFERROR(INDEX(FX!$B:$B,MATCH(A1289,FX!$A:$A,1)),""))</f>
        <v/>
      </c>
      <c r="D1289" s="14" t="str">
        <f aca="false">IF(A1289="","",SUMIFS(Transactions!$D:$D,Transactions!$A:$A,"&lt;="&amp;A1289,Transactions!$B:$B,Settings!$B$1))</f>
        <v/>
      </c>
      <c r="E1289" s="14" t="str">
        <f aca="false">IF(A1289="","",SUMIFS(Transactions!$C:$C,Transactions!$A:$A,"&lt;="&amp;A1289,Transactions!$B:$B,Settings!$B$1)+SUMIFS(Transactions!$F:$F,Transactions!$A:$A,"&lt;="&amp;A1289,Transactions!$B:$B,Settings!$B$1))</f>
        <v/>
      </c>
      <c r="F1289" s="14" t="str">
        <f aca="false">IF(A1289="","",IF(C1289="","",D1289*B1289*C1289))</f>
        <v/>
      </c>
      <c r="G1289" s="14" t="str">
        <f aca="false">IF(F1289="","",F1289-E1289)</f>
        <v/>
      </c>
      <c r="H1289" s="14" t="str">
        <f aca="false">IF(F1289="","",IFERROR(F1289-F1288-(E1289-E1288),0))</f>
        <v/>
      </c>
    </row>
    <row r="1290" customFormat="false" ht="15" hidden="false" customHeight="false" outlineLevel="0" collapsed="false">
      <c r="A1290" s="13" t="str">
        <f aca="false">IF(Prices!A1290="","",Prices!A1290)</f>
        <v/>
      </c>
      <c r="B1290" s="14" t="str">
        <f aca="false">IF(A1290="","",Prices!C1290)</f>
        <v/>
      </c>
      <c r="C1290" s="15" t="str">
        <f aca="false">IF(A1290="","",IFERROR(INDEX(FX!$B:$B,MATCH(A1290,FX!$A:$A,1)),""))</f>
        <v/>
      </c>
      <c r="D1290" s="14" t="str">
        <f aca="false">IF(A1290="","",SUMIFS(Transactions!$D:$D,Transactions!$A:$A,"&lt;="&amp;A1290,Transactions!$B:$B,Settings!$B$1))</f>
        <v/>
      </c>
      <c r="E1290" s="14" t="str">
        <f aca="false">IF(A1290="","",SUMIFS(Transactions!$C:$C,Transactions!$A:$A,"&lt;="&amp;A1290,Transactions!$B:$B,Settings!$B$1)+SUMIFS(Transactions!$F:$F,Transactions!$A:$A,"&lt;="&amp;A1290,Transactions!$B:$B,Settings!$B$1))</f>
        <v/>
      </c>
      <c r="F1290" s="14" t="str">
        <f aca="false">IF(A1290="","",IF(C1290="","",D1290*B1290*C1290))</f>
        <v/>
      </c>
      <c r="G1290" s="14" t="str">
        <f aca="false">IF(F1290="","",F1290-E1290)</f>
        <v/>
      </c>
      <c r="H1290" s="14" t="str">
        <f aca="false">IF(F1290="","",IFERROR(F1290-F1289-(E1290-E1289),0))</f>
        <v/>
      </c>
    </row>
    <row r="1291" customFormat="false" ht="15" hidden="false" customHeight="false" outlineLevel="0" collapsed="false">
      <c r="A1291" s="13" t="str">
        <f aca="false">IF(Prices!A1291="","",Prices!A1291)</f>
        <v/>
      </c>
      <c r="B1291" s="14" t="str">
        <f aca="false">IF(A1291="","",Prices!C1291)</f>
        <v/>
      </c>
      <c r="C1291" s="15" t="str">
        <f aca="false">IF(A1291="","",IFERROR(INDEX(FX!$B:$B,MATCH(A1291,FX!$A:$A,1)),""))</f>
        <v/>
      </c>
      <c r="D1291" s="14" t="str">
        <f aca="false">IF(A1291="","",SUMIFS(Transactions!$D:$D,Transactions!$A:$A,"&lt;="&amp;A1291,Transactions!$B:$B,Settings!$B$1))</f>
        <v/>
      </c>
      <c r="E1291" s="14" t="str">
        <f aca="false">IF(A1291="","",SUMIFS(Transactions!$C:$C,Transactions!$A:$A,"&lt;="&amp;A1291,Transactions!$B:$B,Settings!$B$1)+SUMIFS(Transactions!$F:$F,Transactions!$A:$A,"&lt;="&amp;A1291,Transactions!$B:$B,Settings!$B$1))</f>
        <v/>
      </c>
      <c r="F1291" s="14" t="str">
        <f aca="false">IF(A1291="","",IF(C1291="","",D1291*B1291*C1291))</f>
        <v/>
      </c>
      <c r="G1291" s="14" t="str">
        <f aca="false">IF(F1291="","",F1291-E1291)</f>
        <v/>
      </c>
      <c r="H1291" s="14" t="str">
        <f aca="false">IF(F1291="","",IFERROR(F1291-F1290-(E1291-E1290),0))</f>
        <v/>
      </c>
    </row>
    <row r="1292" customFormat="false" ht="15" hidden="false" customHeight="false" outlineLevel="0" collapsed="false">
      <c r="A1292" s="13" t="str">
        <f aca="false">IF(Prices!A1292="","",Prices!A1292)</f>
        <v/>
      </c>
      <c r="B1292" s="14" t="str">
        <f aca="false">IF(A1292="","",Prices!C1292)</f>
        <v/>
      </c>
      <c r="C1292" s="15" t="str">
        <f aca="false">IF(A1292="","",IFERROR(INDEX(FX!$B:$B,MATCH(A1292,FX!$A:$A,1)),""))</f>
        <v/>
      </c>
      <c r="D1292" s="14" t="str">
        <f aca="false">IF(A1292="","",SUMIFS(Transactions!$D:$D,Transactions!$A:$A,"&lt;="&amp;A1292,Transactions!$B:$B,Settings!$B$1))</f>
        <v/>
      </c>
      <c r="E1292" s="14" t="str">
        <f aca="false">IF(A1292="","",SUMIFS(Transactions!$C:$C,Transactions!$A:$A,"&lt;="&amp;A1292,Transactions!$B:$B,Settings!$B$1)+SUMIFS(Transactions!$F:$F,Transactions!$A:$A,"&lt;="&amp;A1292,Transactions!$B:$B,Settings!$B$1))</f>
        <v/>
      </c>
      <c r="F1292" s="14" t="str">
        <f aca="false">IF(A1292="","",IF(C1292="","",D1292*B1292*C1292))</f>
        <v/>
      </c>
      <c r="G1292" s="14" t="str">
        <f aca="false">IF(F1292="","",F1292-E1292)</f>
        <v/>
      </c>
      <c r="H1292" s="14" t="str">
        <f aca="false">IF(F1292="","",IFERROR(F1292-F1291-(E1292-E1291),0))</f>
        <v/>
      </c>
    </row>
    <row r="1293" customFormat="false" ht="15" hidden="false" customHeight="false" outlineLevel="0" collapsed="false">
      <c r="A1293" s="13" t="str">
        <f aca="false">IF(Prices!A1293="","",Prices!A1293)</f>
        <v/>
      </c>
      <c r="B1293" s="14" t="str">
        <f aca="false">IF(A1293="","",Prices!C1293)</f>
        <v/>
      </c>
      <c r="C1293" s="15" t="str">
        <f aca="false">IF(A1293="","",IFERROR(INDEX(FX!$B:$B,MATCH(A1293,FX!$A:$A,1)),""))</f>
        <v/>
      </c>
      <c r="D1293" s="14" t="str">
        <f aca="false">IF(A1293="","",SUMIFS(Transactions!$D:$D,Transactions!$A:$A,"&lt;="&amp;A1293,Transactions!$B:$B,Settings!$B$1))</f>
        <v/>
      </c>
      <c r="E1293" s="14" t="str">
        <f aca="false">IF(A1293="","",SUMIFS(Transactions!$C:$C,Transactions!$A:$A,"&lt;="&amp;A1293,Transactions!$B:$B,Settings!$B$1)+SUMIFS(Transactions!$F:$F,Transactions!$A:$A,"&lt;="&amp;A1293,Transactions!$B:$B,Settings!$B$1))</f>
        <v/>
      </c>
      <c r="F1293" s="14" t="str">
        <f aca="false">IF(A1293="","",IF(C1293="","",D1293*B1293*C1293))</f>
        <v/>
      </c>
      <c r="G1293" s="14" t="str">
        <f aca="false">IF(F1293="","",F1293-E1293)</f>
        <v/>
      </c>
      <c r="H1293" s="14" t="str">
        <f aca="false">IF(F1293="","",IFERROR(F1293-F1292-(E1293-E1292),0))</f>
        <v/>
      </c>
    </row>
    <row r="1294" customFormat="false" ht="15" hidden="false" customHeight="false" outlineLevel="0" collapsed="false">
      <c r="A1294" s="13" t="str">
        <f aca="false">IF(Prices!A1294="","",Prices!A1294)</f>
        <v/>
      </c>
      <c r="B1294" s="14" t="str">
        <f aca="false">IF(A1294="","",Prices!C1294)</f>
        <v/>
      </c>
      <c r="C1294" s="15" t="str">
        <f aca="false">IF(A1294="","",IFERROR(INDEX(FX!$B:$B,MATCH(A1294,FX!$A:$A,1)),""))</f>
        <v/>
      </c>
      <c r="D1294" s="14" t="str">
        <f aca="false">IF(A1294="","",SUMIFS(Transactions!$D:$D,Transactions!$A:$A,"&lt;="&amp;A1294,Transactions!$B:$B,Settings!$B$1))</f>
        <v/>
      </c>
      <c r="E1294" s="14" t="str">
        <f aca="false">IF(A1294="","",SUMIFS(Transactions!$C:$C,Transactions!$A:$A,"&lt;="&amp;A1294,Transactions!$B:$B,Settings!$B$1)+SUMIFS(Transactions!$F:$F,Transactions!$A:$A,"&lt;="&amp;A1294,Transactions!$B:$B,Settings!$B$1))</f>
        <v/>
      </c>
      <c r="F1294" s="14" t="str">
        <f aca="false">IF(A1294="","",IF(C1294="","",D1294*B1294*C1294))</f>
        <v/>
      </c>
      <c r="G1294" s="14" t="str">
        <f aca="false">IF(F1294="","",F1294-E1294)</f>
        <v/>
      </c>
      <c r="H1294" s="14" t="str">
        <f aca="false">IF(F1294="","",IFERROR(F1294-F1293-(E1294-E1293),0))</f>
        <v/>
      </c>
    </row>
    <row r="1295" customFormat="false" ht="15" hidden="false" customHeight="false" outlineLevel="0" collapsed="false">
      <c r="A1295" s="13" t="str">
        <f aca="false">IF(Prices!A1295="","",Prices!A1295)</f>
        <v/>
      </c>
      <c r="B1295" s="14" t="str">
        <f aca="false">IF(A1295="","",Prices!C1295)</f>
        <v/>
      </c>
      <c r="C1295" s="15" t="str">
        <f aca="false">IF(A1295="","",IFERROR(INDEX(FX!$B:$B,MATCH(A1295,FX!$A:$A,1)),""))</f>
        <v/>
      </c>
      <c r="D1295" s="14" t="str">
        <f aca="false">IF(A1295="","",SUMIFS(Transactions!$D:$D,Transactions!$A:$A,"&lt;="&amp;A1295,Transactions!$B:$B,Settings!$B$1))</f>
        <v/>
      </c>
      <c r="E1295" s="14" t="str">
        <f aca="false">IF(A1295="","",SUMIFS(Transactions!$C:$C,Transactions!$A:$A,"&lt;="&amp;A1295,Transactions!$B:$B,Settings!$B$1)+SUMIFS(Transactions!$F:$F,Transactions!$A:$A,"&lt;="&amp;A1295,Transactions!$B:$B,Settings!$B$1))</f>
        <v/>
      </c>
      <c r="F1295" s="14" t="str">
        <f aca="false">IF(A1295="","",IF(C1295="","",D1295*B1295*C1295))</f>
        <v/>
      </c>
      <c r="G1295" s="14" t="str">
        <f aca="false">IF(F1295="","",F1295-E1295)</f>
        <v/>
      </c>
      <c r="H1295" s="14" t="str">
        <f aca="false">IF(F1295="","",IFERROR(F1295-F1294-(E1295-E1294),0))</f>
        <v/>
      </c>
    </row>
    <row r="1296" customFormat="false" ht="15" hidden="false" customHeight="false" outlineLevel="0" collapsed="false">
      <c r="A1296" s="13" t="str">
        <f aca="false">IF(Prices!A1296="","",Prices!A1296)</f>
        <v/>
      </c>
      <c r="B1296" s="14" t="str">
        <f aca="false">IF(A1296="","",Prices!C1296)</f>
        <v/>
      </c>
      <c r="C1296" s="15" t="str">
        <f aca="false">IF(A1296="","",IFERROR(INDEX(FX!$B:$B,MATCH(A1296,FX!$A:$A,1)),""))</f>
        <v/>
      </c>
      <c r="D1296" s="14" t="str">
        <f aca="false">IF(A1296="","",SUMIFS(Transactions!$D:$D,Transactions!$A:$A,"&lt;="&amp;A1296,Transactions!$B:$B,Settings!$B$1))</f>
        <v/>
      </c>
      <c r="E1296" s="14" t="str">
        <f aca="false">IF(A1296="","",SUMIFS(Transactions!$C:$C,Transactions!$A:$A,"&lt;="&amp;A1296,Transactions!$B:$B,Settings!$B$1)+SUMIFS(Transactions!$F:$F,Transactions!$A:$A,"&lt;="&amp;A1296,Transactions!$B:$B,Settings!$B$1))</f>
        <v/>
      </c>
      <c r="F1296" s="14" t="str">
        <f aca="false">IF(A1296="","",IF(C1296="","",D1296*B1296*C1296))</f>
        <v/>
      </c>
      <c r="G1296" s="14" t="str">
        <f aca="false">IF(F1296="","",F1296-E1296)</f>
        <v/>
      </c>
      <c r="H1296" s="14" t="str">
        <f aca="false">IF(F1296="","",IFERROR(F1296-F1295-(E1296-E1295),0))</f>
        <v/>
      </c>
    </row>
    <row r="1297" customFormat="false" ht="15" hidden="false" customHeight="false" outlineLevel="0" collapsed="false">
      <c r="A1297" s="13" t="str">
        <f aca="false">IF(Prices!A1297="","",Prices!A1297)</f>
        <v/>
      </c>
      <c r="B1297" s="14" t="str">
        <f aca="false">IF(A1297="","",Prices!C1297)</f>
        <v/>
      </c>
      <c r="C1297" s="15" t="str">
        <f aca="false">IF(A1297="","",IFERROR(INDEX(FX!$B:$B,MATCH(A1297,FX!$A:$A,1)),""))</f>
        <v/>
      </c>
      <c r="D1297" s="14" t="str">
        <f aca="false">IF(A1297="","",SUMIFS(Transactions!$D:$D,Transactions!$A:$A,"&lt;="&amp;A1297,Transactions!$B:$B,Settings!$B$1))</f>
        <v/>
      </c>
      <c r="E1297" s="14" t="str">
        <f aca="false">IF(A1297="","",SUMIFS(Transactions!$C:$C,Transactions!$A:$A,"&lt;="&amp;A1297,Transactions!$B:$B,Settings!$B$1)+SUMIFS(Transactions!$F:$F,Transactions!$A:$A,"&lt;="&amp;A1297,Transactions!$B:$B,Settings!$B$1))</f>
        <v/>
      </c>
      <c r="F1297" s="14" t="str">
        <f aca="false">IF(A1297="","",IF(C1297="","",D1297*B1297*C1297))</f>
        <v/>
      </c>
      <c r="G1297" s="14" t="str">
        <f aca="false">IF(F1297="","",F1297-E1297)</f>
        <v/>
      </c>
      <c r="H1297" s="14" t="str">
        <f aca="false">IF(F1297="","",IFERROR(F1297-F1296-(E1297-E1296),0))</f>
        <v/>
      </c>
    </row>
    <row r="1298" customFormat="false" ht="15" hidden="false" customHeight="false" outlineLevel="0" collapsed="false">
      <c r="A1298" s="13" t="str">
        <f aca="false">IF(Prices!A1298="","",Prices!A1298)</f>
        <v/>
      </c>
      <c r="B1298" s="14" t="str">
        <f aca="false">IF(A1298="","",Prices!C1298)</f>
        <v/>
      </c>
      <c r="C1298" s="15" t="str">
        <f aca="false">IF(A1298="","",IFERROR(INDEX(FX!$B:$B,MATCH(A1298,FX!$A:$A,1)),""))</f>
        <v/>
      </c>
      <c r="D1298" s="14" t="str">
        <f aca="false">IF(A1298="","",SUMIFS(Transactions!$D:$D,Transactions!$A:$A,"&lt;="&amp;A1298,Transactions!$B:$B,Settings!$B$1))</f>
        <v/>
      </c>
      <c r="E1298" s="14" t="str">
        <f aca="false">IF(A1298="","",SUMIFS(Transactions!$C:$C,Transactions!$A:$A,"&lt;="&amp;A1298,Transactions!$B:$B,Settings!$B$1)+SUMIFS(Transactions!$F:$F,Transactions!$A:$A,"&lt;="&amp;A1298,Transactions!$B:$B,Settings!$B$1))</f>
        <v/>
      </c>
      <c r="F1298" s="14" t="str">
        <f aca="false">IF(A1298="","",IF(C1298="","",D1298*B1298*C1298))</f>
        <v/>
      </c>
      <c r="G1298" s="14" t="str">
        <f aca="false">IF(F1298="","",F1298-E1298)</f>
        <v/>
      </c>
      <c r="H1298" s="14" t="str">
        <f aca="false">IF(F1298="","",IFERROR(F1298-F1297-(E1298-E1297),0))</f>
        <v/>
      </c>
    </row>
    <row r="1299" customFormat="false" ht="15" hidden="false" customHeight="false" outlineLevel="0" collapsed="false">
      <c r="A1299" s="13" t="str">
        <f aca="false">IF(Prices!A1299="","",Prices!A1299)</f>
        <v/>
      </c>
      <c r="B1299" s="14" t="str">
        <f aca="false">IF(A1299="","",Prices!C1299)</f>
        <v/>
      </c>
      <c r="C1299" s="15" t="str">
        <f aca="false">IF(A1299="","",IFERROR(INDEX(FX!$B:$B,MATCH(A1299,FX!$A:$A,1)),""))</f>
        <v/>
      </c>
      <c r="D1299" s="14" t="str">
        <f aca="false">IF(A1299="","",SUMIFS(Transactions!$D:$D,Transactions!$A:$A,"&lt;="&amp;A1299,Transactions!$B:$B,Settings!$B$1))</f>
        <v/>
      </c>
      <c r="E1299" s="14" t="str">
        <f aca="false">IF(A1299="","",SUMIFS(Transactions!$C:$C,Transactions!$A:$A,"&lt;="&amp;A1299,Transactions!$B:$B,Settings!$B$1)+SUMIFS(Transactions!$F:$F,Transactions!$A:$A,"&lt;="&amp;A1299,Transactions!$B:$B,Settings!$B$1))</f>
        <v/>
      </c>
      <c r="F1299" s="14" t="str">
        <f aca="false">IF(A1299="","",IF(C1299="","",D1299*B1299*C1299))</f>
        <v/>
      </c>
      <c r="G1299" s="14" t="str">
        <f aca="false">IF(F1299="","",F1299-E1299)</f>
        <v/>
      </c>
      <c r="H1299" s="14" t="str">
        <f aca="false">IF(F1299="","",IFERROR(F1299-F1298-(E1299-E1298),0))</f>
        <v/>
      </c>
    </row>
    <row r="1300" customFormat="false" ht="15" hidden="false" customHeight="false" outlineLevel="0" collapsed="false">
      <c r="A1300" s="13" t="str">
        <f aca="false">IF(Prices!A1300="","",Prices!A1300)</f>
        <v/>
      </c>
      <c r="B1300" s="14" t="str">
        <f aca="false">IF(A1300="","",Prices!C1300)</f>
        <v/>
      </c>
      <c r="C1300" s="15" t="str">
        <f aca="false">IF(A1300="","",IFERROR(INDEX(FX!$B:$B,MATCH(A1300,FX!$A:$A,1)),""))</f>
        <v/>
      </c>
      <c r="D1300" s="14" t="str">
        <f aca="false">IF(A1300="","",SUMIFS(Transactions!$D:$D,Transactions!$A:$A,"&lt;="&amp;A1300,Transactions!$B:$B,Settings!$B$1))</f>
        <v/>
      </c>
      <c r="E1300" s="14" t="str">
        <f aca="false">IF(A1300="","",SUMIFS(Transactions!$C:$C,Transactions!$A:$A,"&lt;="&amp;A1300,Transactions!$B:$B,Settings!$B$1)+SUMIFS(Transactions!$F:$F,Transactions!$A:$A,"&lt;="&amp;A1300,Transactions!$B:$B,Settings!$B$1))</f>
        <v/>
      </c>
      <c r="F1300" s="14" t="str">
        <f aca="false">IF(A1300="","",IF(C1300="","",D1300*B1300*C1300))</f>
        <v/>
      </c>
      <c r="G1300" s="14" t="str">
        <f aca="false">IF(F1300="","",F1300-E1300)</f>
        <v/>
      </c>
      <c r="H1300" s="14" t="str">
        <f aca="false">IF(F1300="","",IFERROR(F1300-F1299-(E1300-E1299),0))</f>
        <v/>
      </c>
    </row>
    <row r="1301" customFormat="false" ht="15" hidden="false" customHeight="false" outlineLevel="0" collapsed="false">
      <c r="A1301" s="13" t="str">
        <f aca="false">IF(Prices!A1301="","",Prices!A1301)</f>
        <v/>
      </c>
      <c r="B1301" s="14" t="str">
        <f aca="false">IF(A1301="","",Prices!C1301)</f>
        <v/>
      </c>
      <c r="C1301" s="15" t="str">
        <f aca="false">IF(A1301="","",IFERROR(INDEX(FX!$B:$B,MATCH(A1301,FX!$A:$A,1)),""))</f>
        <v/>
      </c>
      <c r="D1301" s="14" t="str">
        <f aca="false">IF(A1301="","",SUMIFS(Transactions!$D:$D,Transactions!$A:$A,"&lt;="&amp;A1301,Transactions!$B:$B,Settings!$B$1))</f>
        <v/>
      </c>
      <c r="E1301" s="14" t="str">
        <f aca="false">IF(A1301="","",SUMIFS(Transactions!$C:$C,Transactions!$A:$A,"&lt;="&amp;A1301,Transactions!$B:$B,Settings!$B$1)+SUMIFS(Transactions!$F:$F,Transactions!$A:$A,"&lt;="&amp;A1301,Transactions!$B:$B,Settings!$B$1))</f>
        <v/>
      </c>
      <c r="F1301" s="14" t="str">
        <f aca="false">IF(A1301="","",IF(C1301="","",D1301*B1301*C1301))</f>
        <v/>
      </c>
      <c r="G1301" s="14" t="str">
        <f aca="false">IF(F1301="","",F1301-E1301)</f>
        <v/>
      </c>
      <c r="H1301" s="14" t="str">
        <f aca="false">IF(F1301="","",IFERROR(F1301-F1300-(E1301-E1300),0))</f>
        <v/>
      </c>
    </row>
    <row r="1302" customFormat="false" ht="15" hidden="false" customHeight="false" outlineLevel="0" collapsed="false">
      <c r="A1302" s="13" t="str">
        <f aca="false">IF(Prices!A1302="","",Prices!A1302)</f>
        <v/>
      </c>
      <c r="B1302" s="14" t="str">
        <f aca="false">IF(A1302="","",Prices!C1302)</f>
        <v/>
      </c>
      <c r="C1302" s="15" t="str">
        <f aca="false">IF(A1302="","",IFERROR(INDEX(FX!$B:$B,MATCH(A1302,FX!$A:$A,1)),""))</f>
        <v/>
      </c>
      <c r="D1302" s="14" t="str">
        <f aca="false">IF(A1302="","",SUMIFS(Transactions!$D:$D,Transactions!$A:$A,"&lt;="&amp;A1302,Transactions!$B:$B,Settings!$B$1))</f>
        <v/>
      </c>
      <c r="E1302" s="14" t="str">
        <f aca="false">IF(A1302="","",SUMIFS(Transactions!$C:$C,Transactions!$A:$A,"&lt;="&amp;A1302,Transactions!$B:$B,Settings!$B$1)+SUMIFS(Transactions!$F:$F,Transactions!$A:$A,"&lt;="&amp;A1302,Transactions!$B:$B,Settings!$B$1))</f>
        <v/>
      </c>
      <c r="F1302" s="14" t="str">
        <f aca="false">IF(A1302="","",IF(C1302="","",D1302*B1302*C1302))</f>
        <v/>
      </c>
      <c r="G1302" s="14" t="str">
        <f aca="false">IF(F1302="","",F1302-E1302)</f>
        <v/>
      </c>
      <c r="H1302" s="14" t="str">
        <f aca="false">IF(F1302="","",IFERROR(F1302-F1301-(E1302-E1301),0))</f>
        <v/>
      </c>
    </row>
    <row r="1303" customFormat="false" ht="15" hidden="false" customHeight="false" outlineLevel="0" collapsed="false">
      <c r="A1303" s="13" t="str">
        <f aca="false">IF(Prices!A1303="","",Prices!A1303)</f>
        <v/>
      </c>
      <c r="B1303" s="14" t="str">
        <f aca="false">IF(A1303="","",Prices!C1303)</f>
        <v/>
      </c>
      <c r="C1303" s="15" t="str">
        <f aca="false">IF(A1303="","",IFERROR(INDEX(FX!$B:$B,MATCH(A1303,FX!$A:$A,1)),""))</f>
        <v/>
      </c>
      <c r="D1303" s="14" t="str">
        <f aca="false">IF(A1303="","",SUMIFS(Transactions!$D:$D,Transactions!$A:$A,"&lt;="&amp;A1303,Transactions!$B:$B,Settings!$B$1))</f>
        <v/>
      </c>
      <c r="E1303" s="14" t="str">
        <f aca="false">IF(A1303="","",SUMIFS(Transactions!$C:$C,Transactions!$A:$A,"&lt;="&amp;A1303,Transactions!$B:$B,Settings!$B$1)+SUMIFS(Transactions!$F:$F,Transactions!$A:$A,"&lt;="&amp;A1303,Transactions!$B:$B,Settings!$B$1))</f>
        <v/>
      </c>
      <c r="F1303" s="14" t="str">
        <f aca="false">IF(A1303="","",IF(C1303="","",D1303*B1303*C1303))</f>
        <v/>
      </c>
      <c r="G1303" s="14" t="str">
        <f aca="false">IF(F1303="","",F1303-E1303)</f>
        <v/>
      </c>
      <c r="H1303" s="14" t="str">
        <f aca="false">IF(F1303="","",IFERROR(F1303-F1302-(E1303-E1302),0))</f>
        <v/>
      </c>
    </row>
    <row r="1304" customFormat="false" ht="15" hidden="false" customHeight="false" outlineLevel="0" collapsed="false">
      <c r="A1304" s="13" t="str">
        <f aca="false">IF(Prices!A1304="","",Prices!A1304)</f>
        <v/>
      </c>
      <c r="B1304" s="14" t="str">
        <f aca="false">IF(A1304="","",Prices!C1304)</f>
        <v/>
      </c>
      <c r="C1304" s="15" t="str">
        <f aca="false">IF(A1304="","",IFERROR(INDEX(FX!$B:$B,MATCH(A1304,FX!$A:$A,1)),""))</f>
        <v/>
      </c>
      <c r="D1304" s="14" t="str">
        <f aca="false">IF(A1304="","",SUMIFS(Transactions!$D:$D,Transactions!$A:$A,"&lt;="&amp;A1304,Transactions!$B:$B,Settings!$B$1))</f>
        <v/>
      </c>
      <c r="E1304" s="14" t="str">
        <f aca="false">IF(A1304="","",SUMIFS(Transactions!$C:$C,Transactions!$A:$A,"&lt;="&amp;A1304,Transactions!$B:$B,Settings!$B$1)+SUMIFS(Transactions!$F:$F,Transactions!$A:$A,"&lt;="&amp;A1304,Transactions!$B:$B,Settings!$B$1))</f>
        <v/>
      </c>
      <c r="F1304" s="14" t="str">
        <f aca="false">IF(A1304="","",IF(C1304="","",D1304*B1304*C1304))</f>
        <v/>
      </c>
      <c r="G1304" s="14" t="str">
        <f aca="false">IF(F1304="","",F1304-E1304)</f>
        <v/>
      </c>
      <c r="H1304" s="14" t="str">
        <f aca="false">IF(F1304="","",IFERROR(F1304-F1303-(E1304-E1303),0))</f>
        <v/>
      </c>
    </row>
    <row r="1305" customFormat="false" ht="15" hidden="false" customHeight="false" outlineLevel="0" collapsed="false">
      <c r="A1305" s="13" t="str">
        <f aca="false">IF(Prices!A1305="","",Prices!A1305)</f>
        <v/>
      </c>
      <c r="B1305" s="14" t="str">
        <f aca="false">IF(A1305="","",Prices!C1305)</f>
        <v/>
      </c>
      <c r="C1305" s="15" t="str">
        <f aca="false">IF(A1305="","",IFERROR(INDEX(FX!$B:$B,MATCH(A1305,FX!$A:$A,1)),""))</f>
        <v/>
      </c>
      <c r="D1305" s="14" t="str">
        <f aca="false">IF(A1305="","",SUMIFS(Transactions!$D:$D,Transactions!$A:$A,"&lt;="&amp;A1305,Transactions!$B:$B,Settings!$B$1))</f>
        <v/>
      </c>
      <c r="E1305" s="14" t="str">
        <f aca="false">IF(A1305="","",SUMIFS(Transactions!$C:$C,Transactions!$A:$A,"&lt;="&amp;A1305,Transactions!$B:$B,Settings!$B$1)+SUMIFS(Transactions!$F:$F,Transactions!$A:$A,"&lt;="&amp;A1305,Transactions!$B:$B,Settings!$B$1))</f>
        <v/>
      </c>
      <c r="F1305" s="14" t="str">
        <f aca="false">IF(A1305="","",IF(C1305="","",D1305*B1305*C1305))</f>
        <v/>
      </c>
      <c r="G1305" s="14" t="str">
        <f aca="false">IF(F1305="","",F1305-E1305)</f>
        <v/>
      </c>
      <c r="H1305" s="14" t="str">
        <f aca="false">IF(F1305="","",IFERROR(F1305-F1304-(E1305-E1304),0))</f>
        <v/>
      </c>
    </row>
    <row r="1306" customFormat="false" ht="15" hidden="false" customHeight="false" outlineLevel="0" collapsed="false">
      <c r="A1306" s="13" t="str">
        <f aca="false">IF(Prices!A1306="","",Prices!A1306)</f>
        <v/>
      </c>
      <c r="B1306" s="14" t="str">
        <f aca="false">IF(A1306="","",Prices!C1306)</f>
        <v/>
      </c>
      <c r="C1306" s="15" t="str">
        <f aca="false">IF(A1306="","",IFERROR(INDEX(FX!$B:$B,MATCH(A1306,FX!$A:$A,1)),""))</f>
        <v/>
      </c>
      <c r="D1306" s="14" t="str">
        <f aca="false">IF(A1306="","",SUMIFS(Transactions!$D:$D,Transactions!$A:$A,"&lt;="&amp;A1306,Transactions!$B:$B,Settings!$B$1))</f>
        <v/>
      </c>
      <c r="E1306" s="14" t="str">
        <f aca="false">IF(A1306="","",SUMIFS(Transactions!$C:$C,Transactions!$A:$A,"&lt;="&amp;A1306,Transactions!$B:$B,Settings!$B$1)+SUMIFS(Transactions!$F:$F,Transactions!$A:$A,"&lt;="&amp;A1306,Transactions!$B:$B,Settings!$B$1))</f>
        <v/>
      </c>
      <c r="F1306" s="14" t="str">
        <f aca="false">IF(A1306="","",IF(C1306="","",D1306*B1306*C1306))</f>
        <v/>
      </c>
      <c r="G1306" s="14" t="str">
        <f aca="false">IF(F1306="","",F1306-E1306)</f>
        <v/>
      </c>
      <c r="H1306" s="14" t="str">
        <f aca="false">IF(F1306="","",IFERROR(F1306-F1305-(E1306-E1305),0))</f>
        <v/>
      </c>
    </row>
    <row r="1307" customFormat="false" ht="15" hidden="false" customHeight="false" outlineLevel="0" collapsed="false">
      <c r="A1307" s="13" t="str">
        <f aca="false">IF(Prices!A1307="","",Prices!A1307)</f>
        <v/>
      </c>
      <c r="B1307" s="14" t="str">
        <f aca="false">IF(A1307="","",Prices!C1307)</f>
        <v/>
      </c>
      <c r="C1307" s="15" t="str">
        <f aca="false">IF(A1307="","",IFERROR(INDEX(FX!$B:$B,MATCH(A1307,FX!$A:$A,1)),""))</f>
        <v/>
      </c>
      <c r="D1307" s="14" t="str">
        <f aca="false">IF(A1307="","",SUMIFS(Transactions!$D:$D,Transactions!$A:$A,"&lt;="&amp;A1307,Transactions!$B:$B,Settings!$B$1))</f>
        <v/>
      </c>
      <c r="E1307" s="14" t="str">
        <f aca="false">IF(A1307="","",SUMIFS(Transactions!$C:$C,Transactions!$A:$A,"&lt;="&amp;A1307,Transactions!$B:$B,Settings!$B$1)+SUMIFS(Transactions!$F:$F,Transactions!$A:$A,"&lt;="&amp;A1307,Transactions!$B:$B,Settings!$B$1))</f>
        <v/>
      </c>
      <c r="F1307" s="14" t="str">
        <f aca="false">IF(A1307="","",IF(C1307="","",D1307*B1307*C1307))</f>
        <v/>
      </c>
      <c r="G1307" s="14" t="str">
        <f aca="false">IF(F1307="","",F1307-E1307)</f>
        <v/>
      </c>
      <c r="H1307" s="14" t="str">
        <f aca="false">IF(F1307="","",IFERROR(F1307-F1306-(E1307-E1306),0))</f>
        <v/>
      </c>
    </row>
    <row r="1308" customFormat="false" ht="15" hidden="false" customHeight="false" outlineLevel="0" collapsed="false">
      <c r="A1308" s="13" t="str">
        <f aca="false">IF(Prices!A1308="","",Prices!A1308)</f>
        <v/>
      </c>
      <c r="B1308" s="14" t="str">
        <f aca="false">IF(A1308="","",Prices!C1308)</f>
        <v/>
      </c>
      <c r="C1308" s="15" t="str">
        <f aca="false">IF(A1308="","",IFERROR(INDEX(FX!$B:$B,MATCH(A1308,FX!$A:$A,1)),""))</f>
        <v/>
      </c>
      <c r="D1308" s="14" t="str">
        <f aca="false">IF(A1308="","",SUMIFS(Transactions!$D:$D,Transactions!$A:$A,"&lt;="&amp;A1308,Transactions!$B:$B,Settings!$B$1))</f>
        <v/>
      </c>
      <c r="E1308" s="14" t="str">
        <f aca="false">IF(A1308="","",SUMIFS(Transactions!$C:$C,Transactions!$A:$A,"&lt;="&amp;A1308,Transactions!$B:$B,Settings!$B$1)+SUMIFS(Transactions!$F:$F,Transactions!$A:$A,"&lt;="&amp;A1308,Transactions!$B:$B,Settings!$B$1))</f>
        <v/>
      </c>
      <c r="F1308" s="14" t="str">
        <f aca="false">IF(A1308="","",IF(C1308="","",D1308*B1308*C1308))</f>
        <v/>
      </c>
      <c r="G1308" s="14" t="str">
        <f aca="false">IF(F1308="","",F1308-E1308)</f>
        <v/>
      </c>
      <c r="H1308" s="14" t="str">
        <f aca="false">IF(F1308="","",IFERROR(F1308-F1307-(E1308-E1307),0))</f>
        <v/>
      </c>
    </row>
    <row r="1309" customFormat="false" ht="15" hidden="false" customHeight="false" outlineLevel="0" collapsed="false">
      <c r="A1309" s="13" t="str">
        <f aca="false">IF(Prices!A1309="","",Prices!A1309)</f>
        <v/>
      </c>
      <c r="B1309" s="14" t="str">
        <f aca="false">IF(A1309="","",Prices!C1309)</f>
        <v/>
      </c>
      <c r="C1309" s="15" t="str">
        <f aca="false">IF(A1309="","",IFERROR(INDEX(FX!$B:$B,MATCH(A1309,FX!$A:$A,1)),""))</f>
        <v/>
      </c>
      <c r="D1309" s="14" t="str">
        <f aca="false">IF(A1309="","",SUMIFS(Transactions!$D:$D,Transactions!$A:$A,"&lt;="&amp;A1309,Transactions!$B:$B,Settings!$B$1))</f>
        <v/>
      </c>
      <c r="E1309" s="14" t="str">
        <f aca="false">IF(A1309="","",SUMIFS(Transactions!$C:$C,Transactions!$A:$A,"&lt;="&amp;A1309,Transactions!$B:$B,Settings!$B$1)+SUMIFS(Transactions!$F:$F,Transactions!$A:$A,"&lt;="&amp;A1309,Transactions!$B:$B,Settings!$B$1))</f>
        <v/>
      </c>
      <c r="F1309" s="14" t="str">
        <f aca="false">IF(A1309="","",IF(C1309="","",D1309*B1309*C1309))</f>
        <v/>
      </c>
      <c r="G1309" s="14" t="str">
        <f aca="false">IF(F1309="","",F1309-E1309)</f>
        <v/>
      </c>
      <c r="H1309" s="14" t="str">
        <f aca="false">IF(F1309="","",IFERROR(F1309-F1308-(E1309-E1308),0))</f>
        <v/>
      </c>
    </row>
    <row r="1310" customFormat="false" ht="15" hidden="false" customHeight="false" outlineLevel="0" collapsed="false">
      <c r="A1310" s="13" t="str">
        <f aca="false">IF(Prices!A1310="","",Prices!A1310)</f>
        <v/>
      </c>
      <c r="B1310" s="14" t="str">
        <f aca="false">IF(A1310="","",Prices!C1310)</f>
        <v/>
      </c>
      <c r="C1310" s="15" t="str">
        <f aca="false">IF(A1310="","",IFERROR(INDEX(FX!$B:$B,MATCH(A1310,FX!$A:$A,1)),""))</f>
        <v/>
      </c>
      <c r="D1310" s="14" t="str">
        <f aca="false">IF(A1310="","",SUMIFS(Transactions!$D:$D,Transactions!$A:$A,"&lt;="&amp;A1310,Transactions!$B:$B,Settings!$B$1))</f>
        <v/>
      </c>
      <c r="E1310" s="14" t="str">
        <f aca="false">IF(A1310="","",SUMIFS(Transactions!$C:$C,Transactions!$A:$A,"&lt;="&amp;A1310,Transactions!$B:$B,Settings!$B$1)+SUMIFS(Transactions!$F:$F,Transactions!$A:$A,"&lt;="&amp;A1310,Transactions!$B:$B,Settings!$B$1))</f>
        <v/>
      </c>
      <c r="F1310" s="14" t="str">
        <f aca="false">IF(A1310="","",IF(C1310="","",D1310*B1310*C1310))</f>
        <v/>
      </c>
      <c r="G1310" s="14" t="str">
        <f aca="false">IF(F1310="","",F1310-E1310)</f>
        <v/>
      </c>
      <c r="H1310" s="14" t="str">
        <f aca="false">IF(F1310="","",IFERROR(F1310-F1309-(E1310-E1309),0))</f>
        <v/>
      </c>
    </row>
    <row r="1311" customFormat="false" ht="15" hidden="false" customHeight="false" outlineLevel="0" collapsed="false">
      <c r="A1311" s="13" t="str">
        <f aca="false">IF(Prices!A1311="","",Prices!A1311)</f>
        <v/>
      </c>
      <c r="B1311" s="14" t="str">
        <f aca="false">IF(A1311="","",Prices!C1311)</f>
        <v/>
      </c>
      <c r="C1311" s="15" t="str">
        <f aca="false">IF(A1311="","",IFERROR(INDEX(FX!$B:$B,MATCH(A1311,FX!$A:$A,1)),""))</f>
        <v/>
      </c>
      <c r="D1311" s="14" t="str">
        <f aca="false">IF(A1311="","",SUMIFS(Transactions!$D:$D,Transactions!$A:$A,"&lt;="&amp;A1311,Transactions!$B:$B,Settings!$B$1))</f>
        <v/>
      </c>
      <c r="E1311" s="14" t="str">
        <f aca="false">IF(A1311="","",SUMIFS(Transactions!$C:$C,Transactions!$A:$A,"&lt;="&amp;A1311,Transactions!$B:$B,Settings!$B$1)+SUMIFS(Transactions!$F:$F,Transactions!$A:$A,"&lt;="&amp;A1311,Transactions!$B:$B,Settings!$B$1))</f>
        <v/>
      </c>
      <c r="F1311" s="14" t="str">
        <f aca="false">IF(A1311="","",IF(C1311="","",D1311*B1311*C1311))</f>
        <v/>
      </c>
      <c r="G1311" s="14" t="str">
        <f aca="false">IF(F1311="","",F1311-E1311)</f>
        <v/>
      </c>
      <c r="H1311" s="14" t="str">
        <f aca="false">IF(F1311="","",IFERROR(F1311-F1310-(E1311-E1310),0))</f>
        <v/>
      </c>
    </row>
    <row r="1312" customFormat="false" ht="15" hidden="false" customHeight="false" outlineLevel="0" collapsed="false">
      <c r="A1312" s="13" t="str">
        <f aca="false">IF(Prices!A1312="","",Prices!A1312)</f>
        <v/>
      </c>
      <c r="B1312" s="14" t="str">
        <f aca="false">IF(A1312="","",Prices!C1312)</f>
        <v/>
      </c>
      <c r="C1312" s="15" t="str">
        <f aca="false">IF(A1312="","",IFERROR(INDEX(FX!$B:$B,MATCH(A1312,FX!$A:$A,1)),""))</f>
        <v/>
      </c>
      <c r="D1312" s="14" t="str">
        <f aca="false">IF(A1312="","",SUMIFS(Transactions!$D:$D,Transactions!$A:$A,"&lt;="&amp;A1312,Transactions!$B:$B,Settings!$B$1))</f>
        <v/>
      </c>
      <c r="E1312" s="14" t="str">
        <f aca="false">IF(A1312="","",SUMIFS(Transactions!$C:$C,Transactions!$A:$A,"&lt;="&amp;A1312,Transactions!$B:$B,Settings!$B$1)+SUMIFS(Transactions!$F:$F,Transactions!$A:$A,"&lt;="&amp;A1312,Transactions!$B:$B,Settings!$B$1))</f>
        <v/>
      </c>
      <c r="F1312" s="14" t="str">
        <f aca="false">IF(A1312="","",IF(C1312="","",D1312*B1312*C1312))</f>
        <v/>
      </c>
      <c r="G1312" s="14" t="str">
        <f aca="false">IF(F1312="","",F1312-E1312)</f>
        <v/>
      </c>
      <c r="H1312" s="14" t="str">
        <f aca="false">IF(F1312="","",IFERROR(F1312-F1311-(E1312-E1311),0))</f>
        <v/>
      </c>
    </row>
    <row r="1313" customFormat="false" ht="15" hidden="false" customHeight="false" outlineLevel="0" collapsed="false">
      <c r="A1313" s="13" t="str">
        <f aca="false">IF(Prices!A1313="","",Prices!A1313)</f>
        <v/>
      </c>
      <c r="B1313" s="14" t="str">
        <f aca="false">IF(A1313="","",Prices!C1313)</f>
        <v/>
      </c>
      <c r="C1313" s="15" t="str">
        <f aca="false">IF(A1313="","",IFERROR(INDEX(FX!$B:$B,MATCH(A1313,FX!$A:$A,1)),""))</f>
        <v/>
      </c>
      <c r="D1313" s="14" t="str">
        <f aca="false">IF(A1313="","",SUMIFS(Transactions!$D:$D,Transactions!$A:$A,"&lt;="&amp;A1313,Transactions!$B:$B,Settings!$B$1))</f>
        <v/>
      </c>
      <c r="E1313" s="14" t="str">
        <f aca="false">IF(A1313="","",SUMIFS(Transactions!$C:$C,Transactions!$A:$A,"&lt;="&amp;A1313,Transactions!$B:$B,Settings!$B$1)+SUMIFS(Transactions!$F:$F,Transactions!$A:$A,"&lt;="&amp;A1313,Transactions!$B:$B,Settings!$B$1))</f>
        <v/>
      </c>
      <c r="F1313" s="14" t="str">
        <f aca="false">IF(A1313="","",IF(C1313="","",D1313*B1313*C1313))</f>
        <v/>
      </c>
      <c r="G1313" s="14" t="str">
        <f aca="false">IF(F1313="","",F1313-E1313)</f>
        <v/>
      </c>
      <c r="H1313" s="14" t="str">
        <f aca="false">IF(F1313="","",IFERROR(F1313-F1312-(E1313-E1312),0))</f>
        <v/>
      </c>
    </row>
    <row r="1314" customFormat="false" ht="15" hidden="false" customHeight="false" outlineLevel="0" collapsed="false">
      <c r="A1314" s="13" t="str">
        <f aca="false">IF(Prices!A1314="","",Prices!A1314)</f>
        <v/>
      </c>
      <c r="B1314" s="14" t="str">
        <f aca="false">IF(A1314="","",Prices!C1314)</f>
        <v/>
      </c>
      <c r="C1314" s="15" t="str">
        <f aca="false">IF(A1314="","",IFERROR(INDEX(FX!$B:$B,MATCH(A1314,FX!$A:$A,1)),""))</f>
        <v/>
      </c>
      <c r="D1314" s="14" t="str">
        <f aca="false">IF(A1314="","",SUMIFS(Transactions!$D:$D,Transactions!$A:$A,"&lt;="&amp;A1314,Transactions!$B:$B,Settings!$B$1))</f>
        <v/>
      </c>
      <c r="E1314" s="14" t="str">
        <f aca="false">IF(A1314="","",SUMIFS(Transactions!$C:$C,Transactions!$A:$A,"&lt;="&amp;A1314,Transactions!$B:$B,Settings!$B$1)+SUMIFS(Transactions!$F:$F,Transactions!$A:$A,"&lt;="&amp;A1314,Transactions!$B:$B,Settings!$B$1))</f>
        <v/>
      </c>
      <c r="F1314" s="14" t="str">
        <f aca="false">IF(A1314="","",IF(C1314="","",D1314*B1314*C1314))</f>
        <v/>
      </c>
      <c r="G1314" s="14" t="str">
        <f aca="false">IF(F1314="","",F1314-E1314)</f>
        <v/>
      </c>
      <c r="H1314" s="14" t="str">
        <f aca="false">IF(F1314="","",IFERROR(F1314-F1313-(E1314-E1313),0))</f>
        <v/>
      </c>
    </row>
    <row r="1315" customFormat="false" ht="15" hidden="false" customHeight="false" outlineLevel="0" collapsed="false">
      <c r="A1315" s="13" t="str">
        <f aca="false">IF(Prices!A1315="","",Prices!A1315)</f>
        <v/>
      </c>
      <c r="B1315" s="14" t="str">
        <f aca="false">IF(A1315="","",Prices!C1315)</f>
        <v/>
      </c>
      <c r="C1315" s="15" t="str">
        <f aca="false">IF(A1315="","",IFERROR(INDEX(FX!$B:$B,MATCH(A1315,FX!$A:$A,1)),""))</f>
        <v/>
      </c>
      <c r="D1315" s="14" t="str">
        <f aca="false">IF(A1315="","",SUMIFS(Transactions!$D:$D,Transactions!$A:$A,"&lt;="&amp;A1315,Transactions!$B:$B,Settings!$B$1))</f>
        <v/>
      </c>
      <c r="E1315" s="14" t="str">
        <f aca="false">IF(A1315="","",SUMIFS(Transactions!$C:$C,Transactions!$A:$A,"&lt;="&amp;A1315,Transactions!$B:$B,Settings!$B$1)+SUMIFS(Transactions!$F:$F,Transactions!$A:$A,"&lt;="&amp;A1315,Transactions!$B:$B,Settings!$B$1))</f>
        <v/>
      </c>
      <c r="F1315" s="14" t="str">
        <f aca="false">IF(A1315="","",IF(C1315="","",D1315*B1315*C1315))</f>
        <v/>
      </c>
      <c r="G1315" s="14" t="str">
        <f aca="false">IF(F1315="","",F1315-E1315)</f>
        <v/>
      </c>
      <c r="H1315" s="14" t="str">
        <f aca="false">IF(F1315="","",IFERROR(F1315-F1314-(E1315-E1314),0))</f>
        <v/>
      </c>
    </row>
    <row r="1316" customFormat="false" ht="15" hidden="false" customHeight="false" outlineLevel="0" collapsed="false">
      <c r="A1316" s="13" t="str">
        <f aca="false">IF(Prices!A1316="","",Prices!A1316)</f>
        <v/>
      </c>
      <c r="B1316" s="14" t="str">
        <f aca="false">IF(A1316="","",Prices!C1316)</f>
        <v/>
      </c>
      <c r="C1316" s="15" t="str">
        <f aca="false">IF(A1316="","",IFERROR(INDEX(FX!$B:$B,MATCH(A1316,FX!$A:$A,1)),""))</f>
        <v/>
      </c>
      <c r="D1316" s="14" t="str">
        <f aca="false">IF(A1316="","",SUMIFS(Transactions!$D:$D,Transactions!$A:$A,"&lt;="&amp;A1316,Transactions!$B:$B,Settings!$B$1))</f>
        <v/>
      </c>
      <c r="E1316" s="14" t="str">
        <f aca="false">IF(A1316="","",SUMIFS(Transactions!$C:$C,Transactions!$A:$A,"&lt;="&amp;A1316,Transactions!$B:$B,Settings!$B$1)+SUMIFS(Transactions!$F:$F,Transactions!$A:$A,"&lt;="&amp;A1316,Transactions!$B:$B,Settings!$B$1))</f>
        <v/>
      </c>
      <c r="F1316" s="14" t="str">
        <f aca="false">IF(A1316="","",IF(C1316="","",D1316*B1316*C1316))</f>
        <v/>
      </c>
      <c r="G1316" s="14" t="str">
        <f aca="false">IF(F1316="","",F1316-E1316)</f>
        <v/>
      </c>
      <c r="H1316" s="14" t="str">
        <f aca="false">IF(F1316="","",IFERROR(F1316-F1315-(E1316-E1315),0))</f>
        <v/>
      </c>
    </row>
    <row r="1317" customFormat="false" ht="15" hidden="false" customHeight="false" outlineLevel="0" collapsed="false">
      <c r="A1317" s="13" t="str">
        <f aca="false">IF(Prices!A1317="","",Prices!A1317)</f>
        <v/>
      </c>
      <c r="B1317" s="14" t="str">
        <f aca="false">IF(A1317="","",Prices!C1317)</f>
        <v/>
      </c>
      <c r="C1317" s="15" t="str">
        <f aca="false">IF(A1317="","",IFERROR(INDEX(FX!$B:$B,MATCH(A1317,FX!$A:$A,1)),""))</f>
        <v/>
      </c>
      <c r="D1317" s="14" t="str">
        <f aca="false">IF(A1317="","",SUMIFS(Transactions!$D:$D,Transactions!$A:$A,"&lt;="&amp;A1317,Transactions!$B:$B,Settings!$B$1))</f>
        <v/>
      </c>
      <c r="E1317" s="14" t="str">
        <f aca="false">IF(A1317="","",SUMIFS(Transactions!$C:$C,Transactions!$A:$A,"&lt;="&amp;A1317,Transactions!$B:$B,Settings!$B$1)+SUMIFS(Transactions!$F:$F,Transactions!$A:$A,"&lt;="&amp;A1317,Transactions!$B:$B,Settings!$B$1))</f>
        <v/>
      </c>
      <c r="F1317" s="14" t="str">
        <f aca="false">IF(A1317="","",IF(C1317="","",D1317*B1317*C1317))</f>
        <v/>
      </c>
      <c r="G1317" s="14" t="str">
        <f aca="false">IF(F1317="","",F1317-E1317)</f>
        <v/>
      </c>
      <c r="H1317" s="14" t="str">
        <f aca="false">IF(F1317="","",IFERROR(F1317-F1316-(E1317-E1316),0))</f>
        <v/>
      </c>
    </row>
    <row r="1318" customFormat="false" ht="15" hidden="false" customHeight="false" outlineLevel="0" collapsed="false">
      <c r="A1318" s="13" t="str">
        <f aca="false">IF(Prices!A1318="","",Prices!A1318)</f>
        <v/>
      </c>
      <c r="B1318" s="14" t="str">
        <f aca="false">IF(A1318="","",Prices!C1318)</f>
        <v/>
      </c>
      <c r="C1318" s="15" t="str">
        <f aca="false">IF(A1318="","",IFERROR(INDEX(FX!$B:$B,MATCH(A1318,FX!$A:$A,1)),""))</f>
        <v/>
      </c>
      <c r="D1318" s="14" t="str">
        <f aca="false">IF(A1318="","",SUMIFS(Transactions!$D:$D,Transactions!$A:$A,"&lt;="&amp;A1318,Transactions!$B:$B,Settings!$B$1))</f>
        <v/>
      </c>
      <c r="E1318" s="14" t="str">
        <f aca="false">IF(A1318="","",SUMIFS(Transactions!$C:$C,Transactions!$A:$A,"&lt;="&amp;A1318,Transactions!$B:$B,Settings!$B$1)+SUMIFS(Transactions!$F:$F,Transactions!$A:$A,"&lt;="&amp;A1318,Transactions!$B:$B,Settings!$B$1))</f>
        <v/>
      </c>
      <c r="F1318" s="14" t="str">
        <f aca="false">IF(A1318="","",IF(C1318="","",D1318*B1318*C1318))</f>
        <v/>
      </c>
      <c r="G1318" s="14" t="str">
        <f aca="false">IF(F1318="","",F1318-E1318)</f>
        <v/>
      </c>
      <c r="H1318" s="14" t="str">
        <f aca="false">IF(F1318="","",IFERROR(F1318-F1317-(E1318-E1317),0))</f>
        <v/>
      </c>
    </row>
    <row r="1319" customFormat="false" ht="15" hidden="false" customHeight="false" outlineLevel="0" collapsed="false">
      <c r="A1319" s="13" t="str">
        <f aca="false">IF(Prices!A1319="","",Prices!A1319)</f>
        <v/>
      </c>
      <c r="B1319" s="14" t="str">
        <f aca="false">IF(A1319="","",Prices!C1319)</f>
        <v/>
      </c>
      <c r="C1319" s="15" t="str">
        <f aca="false">IF(A1319="","",IFERROR(INDEX(FX!$B:$B,MATCH(A1319,FX!$A:$A,1)),""))</f>
        <v/>
      </c>
      <c r="D1319" s="14" t="str">
        <f aca="false">IF(A1319="","",SUMIFS(Transactions!$D:$D,Transactions!$A:$A,"&lt;="&amp;A1319,Transactions!$B:$B,Settings!$B$1))</f>
        <v/>
      </c>
      <c r="E1319" s="14" t="str">
        <f aca="false">IF(A1319="","",SUMIFS(Transactions!$C:$C,Transactions!$A:$A,"&lt;="&amp;A1319,Transactions!$B:$B,Settings!$B$1)+SUMIFS(Transactions!$F:$F,Transactions!$A:$A,"&lt;="&amp;A1319,Transactions!$B:$B,Settings!$B$1))</f>
        <v/>
      </c>
      <c r="F1319" s="14" t="str">
        <f aca="false">IF(A1319="","",IF(C1319="","",D1319*B1319*C1319))</f>
        <v/>
      </c>
      <c r="G1319" s="14" t="str">
        <f aca="false">IF(F1319="","",F1319-E1319)</f>
        <v/>
      </c>
      <c r="H1319" s="14" t="str">
        <f aca="false">IF(F1319="","",IFERROR(F1319-F1318-(E1319-E1318),0))</f>
        <v/>
      </c>
    </row>
    <row r="1320" customFormat="false" ht="15" hidden="false" customHeight="false" outlineLevel="0" collapsed="false">
      <c r="A1320" s="13" t="str">
        <f aca="false">IF(Prices!A1320="","",Prices!A1320)</f>
        <v/>
      </c>
      <c r="B1320" s="14" t="str">
        <f aca="false">IF(A1320="","",Prices!C1320)</f>
        <v/>
      </c>
      <c r="C1320" s="15" t="str">
        <f aca="false">IF(A1320="","",IFERROR(INDEX(FX!$B:$B,MATCH(A1320,FX!$A:$A,1)),""))</f>
        <v/>
      </c>
      <c r="D1320" s="14" t="str">
        <f aca="false">IF(A1320="","",SUMIFS(Transactions!$D:$D,Transactions!$A:$A,"&lt;="&amp;A1320,Transactions!$B:$B,Settings!$B$1))</f>
        <v/>
      </c>
      <c r="E1320" s="14" t="str">
        <f aca="false">IF(A1320="","",SUMIFS(Transactions!$C:$C,Transactions!$A:$A,"&lt;="&amp;A1320,Transactions!$B:$B,Settings!$B$1)+SUMIFS(Transactions!$F:$F,Transactions!$A:$A,"&lt;="&amp;A1320,Transactions!$B:$B,Settings!$B$1))</f>
        <v/>
      </c>
      <c r="F1320" s="14" t="str">
        <f aca="false">IF(A1320="","",IF(C1320="","",D1320*B1320*C1320))</f>
        <v/>
      </c>
      <c r="G1320" s="14" t="str">
        <f aca="false">IF(F1320="","",F1320-E1320)</f>
        <v/>
      </c>
      <c r="H1320" s="14" t="str">
        <f aca="false">IF(F1320="","",IFERROR(F1320-F1319-(E1320-E1319),0))</f>
        <v/>
      </c>
    </row>
    <row r="1321" customFormat="false" ht="15" hidden="false" customHeight="false" outlineLevel="0" collapsed="false">
      <c r="A1321" s="13" t="str">
        <f aca="false">IF(Prices!A1321="","",Prices!A1321)</f>
        <v/>
      </c>
      <c r="B1321" s="14" t="str">
        <f aca="false">IF(A1321="","",Prices!C1321)</f>
        <v/>
      </c>
      <c r="C1321" s="15" t="str">
        <f aca="false">IF(A1321="","",IFERROR(INDEX(FX!$B:$B,MATCH(A1321,FX!$A:$A,1)),""))</f>
        <v/>
      </c>
      <c r="D1321" s="14" t="str">
        <f aca="false">IF(A1321="","",SUMIFS(Transactions!$D:$D,Transactions!$A:$A,"&lt;="&amp;A1321,Transactions!$B:$B,Settings!$B$1))</f>
        <v/>
      </c>
      <c r="E1321" s="14" t="str">
        <f aca="false">IF(A1321="","",SUMIFS(Transactions!$C:$C,Transactions!$A:$A,"&lt;="&amp;A1321,Transactions!$B:$B,Settings!$B$1)+SUMIFS(Transactions!$F:$F,Transactions!$A:$A,"&lt;="&amp;A1321,Transactions!$B:$B,Settings!$B$1))</f>
        <v/>
      </c>
      <c r="F1321" s="14" t="str">
        <f aca="false">IF(A1321="","",IF(C1321="","",D1321*B1321*C1321))</f>
        <v/>
      </c>
      <c r="G1321" s="14" t="str">
        <f aca="false">IF(F1321="","",F1321-E1321)</f>
        <v/>
      </c>
      <c r="H1321" s="14" t="str">
        <f aca="false">IF(F1321="","",IFERROR(F1321-F1320-(E1321-E1320),0))</f>
        <v/>
      </c>
    </row>
    <row r="1322" customFormat="false" ht="15" hidden="false" customHeight="false" outlineLevel="0" collapsed="false">
      <c r="A1322" s="13" t="str">
        <f aca="false">IF(Prices!A1322="","",Prices!A1322)</f>
        <v/>
      </c>
      <c r="B1322" s="14" t="str">
        <f aca="false">IF(A1322="","",Prices!C1322)</f>
        <v/>
      </c>
      <c r="C1322" s="15" t="str">
        <f aca="false">IF(A1322="","",IFERROR(INDEX(FX!$B:$B,MATCH(A1322,FX!$A:$A,1)),""))</f>
        <v/>
      </c>
      <c r="D1322" s="14" t="str">
        <f aca="false">IF(A1322="","",SUMIFS(Transactions!$D:$D,Transactions!$A:$A,"&lt;="&amp;A1322,Transactions!$B:$B,Settings!$B$1))</f>
        <v/>
      </c>
      <c r="E1322" s="14" t="str">
        <f aca="false">IF(A1322="","",SUMIFS(Transactions!$C:$C,Transactions!$A:$A,"&lt;="&amp;A1322,Transactions!$B:$B,Settings!$B$1)+SUMIFS(Transactions!$F:$F,Transactions!$A:$A,"&lt;="&amp;A1322,Transactions!$B:$B,Settings!$B$1))</f>
        <v/>
      </c>
      <c r="F1322" s="14" t="str">
        <f aca="false">IF(A1322="","",IF(C1322="","",D1322*B1322*C1322))</f>
        <v/>
      </c>
      <c r="G1322" s="14" t="str">
        <f aca="false">IF(F1322="","",F1322-E1322)</f>
        <v/>
      </c>
      <c r="H1322" s="14" t="str">
        <f aca="false">IF(F1322="","",IFERROR(F1322-F1321-(E1322-E1321),0))</f>
        <v/>
      </c>
    </row>
    <row r="1323" customFormat="false" ht="15" hidden="false" customHeight="false" outlineLevel="0" collapsed="false">
      <c r="A1323" s="13" t="str">
        <f aca="false">IF(Prices!A1323="","",Prices!A1323)</f>
        <v/>
      </c>
      <c r="B1323" s="14" t="str">
        <f aca="false">IF(A1323="","",Prices!C1323)</f>
        <v/>
      </c>
      <c r="C1323" s="15" t="str">
        <f aca="false">IF(A1323="","",IFERROR(INDEX(FX!$B:$B,MATCH(A1323,FX!$A:$A,1)),""))</f>
        <v/>
      </c>
      <c r="D1323" s="14" t="str">
        <f aca="false">IF(A1323="","",SUMIFS(Transactions!$D:$D,Transactions!$A:$A,"&lt;="&amp;A1323,Transactions!$B:$B,Settings!$B$1))</f>
        <v/>
      </c>
      <c r="E1323" s="14" t="str">
        <f aca="false">IF(A1323="","",SUMIFS(Transactions!$C:$C,Transactions!$A:$A,"&lt;="&amp;A1323,Transactions!$B:$B,Settings!$B$1)+SUMIFS(Transactions!$F:$F,Transactions!$A:$A,"&lt;="&amp;A1323,Transactions!$B:$B,Settings!$B$1))</f>
        <v/>
      </c>
      <c r="F1323" s="14" t="str">
        <f aca="false">IF(A1323="","",IF(C1323="","",D1323*B1323*C1323))</f>
        <v/>
      </c>
      <c r="G1323" s="14" t="str">
        <f aca="false">IF(F1323="","",F1323-E1323)</f>
        <v/>
      </c>
      <c r="H1323" s="14" t="str">
        <f aca="false">IF(F1323="","",IFERROR(F1323-F1322-(E1323-E1322),0))</f>
        <v/>
      </c>
    </row>
    <row r="1324" customFormat="false" ht="15" hidden="false" customHeight="false" outlineLevel="0" collapsed="false">
      <c r="A1324" s="13" t="str">
        <f aca="false">IF(Prices!A1324="","",Prices!A1324)</f>
        <v/>
      </c>
      <c r="B1324" s="14" t="str">
        <f aca="false">IF(A1324="","",Prices!C1324)</f>
        <v/>
      </c>
      <c r="C1324" s="15" t="str">
        <f aca="false">IF(A1324="","",IFERROR(INDEX(FX!$B:$B,MATCH(A1324,FX!$A:$A,1)),""))</f>
        <v/>
      </c>
      <c r="D1324" s="14" t="str">
        <f aca="false">IF(A1324="","",SUMIFS(Transactions!$D:$D,Transactions!$A:$A,"&lt;="&amp;A1324,Transactions!$B:$B,Settings!$B$1))</f>
        <v/>
      </c>
      <c r="E1324" s="14" t="str">
        <f aca="false">IF(A1324="","",SUMIFS(Transactions!$C:$C,Transactions!$A:$A,"&lt;="&amp;A1324,Transactions!$B:$B,Settings!$B$1)+SUMIFS(Transactions!$F:$F,Transactions!$A:$A,"&lt;="&amp;A1324,Transactions!$B:$B,Settings!$B$1))</f>
        <v/>
      </c>
      <c r="F1324" s="14" t="str">
        <f aca="false">IF(A1324="","",IF(C1324="","",D1324*B1324*C1324))</f>
        <v/>
      </c>
      <c r="G1324" s="14" t="str">
        <f aca="false">IF(F1324="","",F1324-E1324)</f>
        <v/>
      </c>
      <c r="H1324" s="14" t="str">
        <f aca="false">IF(F1324="","",IFERROR(F1324-F1323-(E1324-E1323),0))</f>
        <v/>
      </c>
    </row>
    <row r="1325" customFormat="false" ht="15" hidden="false" customHeight="false" outlineLevel="0" collapsed="false">
      <c r="A1325" s="13" t="str">
        <f aca="false">IF(Prices!A1325="","",Prices!A1325)</f>
        <v/>
      </c>
      <c r="B1325" s="14" t="str">
        <f aca="false">IF(A1325="","",Prices!C1325)</f>
        <v/>
      </c>
      <c r="C1325" s="15" t="str">
        <f aca="false">IF(A1325="","",IFERROR(INDEX(FX!$B:$B,MATCH(A1325,FX!$A:$A,1)),""))</f>
        <v/>
      </c>
      <c r="D1325" s="14" t="str">
        <f aca="false">IF(A1325="","",SUMIFS(Transactions!$D:$D,Transactions!$A:$A,"&lt;="&amp;A1325,Transactions!$B:$B,Settings!$B$1))</f>
        <v/>
      </c>
      <c r="E1325" s="14" t="str">
        <f aca="false">IF(A1325="","",SUMIFS(Transactions!$C:$C,Transactions!$A:$A,"&lt;="&amp;A1325,Transactions!$B:$B,Settings!$B$1)+SUMIFS(Transactions!$F:$F,Transactions!$A:$A,"&lt;="&amp;A1325,Transactions!$B:$B,Settings!$B$1))</f>
        <v/>
      </c>
      <c r="F1325" s="14" t="str">
        <f aca="false">IF(A1325="","",IF(C1325="","",D1325*B1325*C1325))</f>
        <v/>
      </c>
      <c r="G1325" s="14" t="str">
        <f aca="false">IF(F1325="","",F1325-E1325)</f>
        <v/>
      </c>
      <c r="H1325" s="14" t="str">
        <f aca="false">IF(F1325="","",IFERROR(F1325-F1324-(E1325-E1324),0))</f>
        <v/>
      </c>
    </row>
    <row r="1326" customFormat="false" ht="15" hidden="false" customHeight="false" outlineLevel="0" collapsed="false">
      <c r="A1326" s="13" t="str">
        <f aca="false">IF(Prices!A1326="","",Prices!A1326)</f>
        <v/>
      </c>
      <c r="B1326" s="14" t="str">
        <f aca="false">IF(A1326="","",Prices!C1326)</f>
        <v/>
      </c>
      <c r="C1326" s="15" t="str">
        <f aca="false">IF(A1326="","",IFERROR(INDEX(FX!$B:$B,MATCH(A1326,FX!$A:$A,1)),""))</f>
        <v/>
      </c>
      <c r="D1326" s="14" t="str">
        <f aca="false">IF(A1326="","",SUMIFS(Transactions!$D:$D,Transactions!$A:$A,"&lt;="&amp;A1326,Transactions!$B:$B,Settings!$B$1))</f>
        <v/>
      </c>
      <c r="E1326" s="14" t="str">
        <f aca="false">IF(A1326="","",SUMIFS(Transactions!$C:$C,Transactions!$A:$A,"&lt;="&amp;A1326,Transactions!$B:$B,Settings!$B$1)+SUMIFS(Transactions!$F:$F,Transactions!$A:$A,"&lt;="&amp;A1326,Transactions!$B:$B,Settings!$B$1))</f>
        <v/>
      </c>
      <c r="F1326" s="14" t="str">
        <f aca="false">IF(A1326="","",IF(C1326="","",D1326*B1326*C1326))</f>
        <v/>
      </c>
      <c r="G1326" s="14" t="str">
        <f aca="false">IF(F1326="","",F1326-E1326)</f>
        <v/>
      </c>
      <c r="H1326" s="14" t="str">
        <f aca="false">IF(F1326="","",IFERROR(F1326-F1325-(E1326-E1325),0))</f>
        <v/>
      </c>
    </row>
    <row r="1327" customFormat="false" ht="15" hidden="false" customHeight="false" outlineLevel="0" collapsed="false">
      <c r="A1327" s="13" t="str">
        <f aca="false">IF(Prices!A1327="","",Prices!A1327)</f>
        <v/>
      </c>
      <c r="B1327" s="14" t="str">
        <f aca="false">IF(A1327="","",Prices!C1327)</f>
        <v/>
      </c>
      <c r="C1327" s="15" t="str">
        <f aca="false">IF(A1327="","",IFERROR(INDEX(FX!$B:$B,MATCH(A1327,FX!$A:$A,1)),""))</f>
        <v/>
      </c>
      <c r="D1327" s="14" t="str">
        <f aca="false">IF(A1327="","",SUMIFS(Transactions!$D:$D,Transactions!$A:$A,"&lt;="&amp;A1327,Transactions!$B:$B,Settings!$B$1))</f>
        <v/>
      </c>
      <c r="E1327" s="14" t="str">
        <f aca="false">IF(A1327="","",SUMIFS(Transactions!$C:$C,Transactions!$A:$A,"&lt;="&amp;A1327,Transactions!$B:$B,Settings!$B$1)+SUMIFS(Transactions!$F:$F,Transactions!$A:$A,"&lt;="&amp;A1327,Transactions!$B:$B,Settings!$B$1))</f>
        <v/>
      </c>
      <c r="F1327" s="14" t="str">
        <f aca="false">IF(A1327="","",IF(C1327="","",D1327*B1327*C1327))</f>
        <v/>
      </c>
      <c r="G1327" s="14" t="str">
        <f aca="false">IF(F1327="","",F1327-E1327)</f>
        <v/>
      </c>
      <c r="H1327" s="14" t="str">
        <f aca="false">IF(F1327="","",IFERROR(F1327-F1326-(E1327-E1326),0))</f>
        <v/>
      </c>
    </row>
    <row r="1328" customFormat="false" ht="15" hidden="false" customHeight="false" outlineLevel="0" collapsed="false">
      <c r="A1328" s="13" t="str">
        <f aca="false">IF(Prices!A1328="","",Prices!A1328)</f>
        <v/>
      </c>
      <c r="B1328" s="14" t="str">
        <f aca="false">IF(A1328="","",Prices!C1328)</f>
        <v/>
      </c>
      <c r="C1328" s="15" t="str">
        <f aca="false">IF(A1328="","",IFERROR(INDEX(FX!$B:$B,MATCH(A1328,FX!$A:$A,1)),""))</f>
        <v/>
      </c>
      <c r="D1328" s="14" t="str">
        <f aca="false">IF(A1328="","",SUMIFS(Transactions!$D:$D,Transactions!$A:$A,"&lt;="&amp;A1328,Transactions!$B:$B,Settings!$B$1))</f>
        <v/>
      </c>
      <c r="E1328" s="14" t="str">
        <f aca="false">IF(A1328="","",SUMIFS(Transactions!$C:$C,Transactions!$A:$A,"&lt;="&amp;A1328,Transactions!$B:$B,Settings!$B$1)+SUMIFS(Transactions!$F:$F,Transactions!$A:$A,"&lt;="&amp;A1328,Transactions!$B:$B,Settings!$B$1))</f>
        <v/>
      </c>
      <c r="F1328" s="14" t="str">
        <f aca="false">IF(A1328="","",IF(C1328="","",D1328*B1328*C1328))</f>
        <v/>
      </c>
      <c r="G1328" s="14" t="str">
        <f aca="false">IF(F1328="","",F1328-E1328)</f>
        <v/>
      </c>
      <c r="H1328" s="14" t="str">
        <f aca="false">IF(F1328="","",IFERROR(F1328-F1327-(E1328-E1327),0))</f>
        <v/>
      </c>
    </row>
    <row r="1329" customFormat="false" ht="15" hidden="false" customHeight="false" outlineLevel="0" collapsed="false">
      <c r="A1329" s="13" t="str">
        <f aca="false">IF(Prices!A1329="","",Prices!A1329)</f>
        <v/>
      </c>
      <c r="B1329" s="14" t="str">
        <f aca="false">IF(A1329="","",Prices!C1329)</f>
        <v/>
      </c>
      <c r="C1329" s="15" t="str">
        <f aca="false">IF(A1329="","",IFERROR(INDEX(FX!$B:$B,MATCH(A1329,FX!$A:$A,1)),""))</f>
        <v/>
      </c>
      <c r="D1329" s="14" t="str">
        <f aca="false">IF(A1329="","",SUMIFS(Transactions!$D:$D,Transactions!$A:$A,"&lt;="&amp;A1329,Transactions!$B:$B,Settings!$B$1))</f>
        <v/>
      </c>
      <c r="E1329" s="14" t="str">
        <f aca="false">IF(A1329="","",SUMIFS(Transactions!$C:$C,Transactions!$A:$A,"&lt;="&amp;A1329,Transactions!$B:$B,Settings!$B$1)+SUMIFS(Transactions!$F:$F,Transactions!$A:$A,"&lt;="&amp;A1329,Transactions!$B:$B,Settings!$B$1))</f>
        <v/>
      </c>
      <c r="F1329" s="14" t="str">
        <f aca="false">IF(A1329="","",IF(C1329="","",D1329*B1329*C1329))</f>
        <v/>
      </c>
      <c r="G1329" s="14" t="str">
        <f aca="false">IF(F1329="","",F1329-E1329)</f>
        <v/>
      </c>
      <c r="H1329" s="14" t="str">
        <f aca="false">IF(F1329="","",IFERROR(F1329-F1328-(E1329-E1328),0))</f>
        <v/>
      </c>
    </row>
    <row r="1330" customFormat="false" ht="15" hidden="false" customHeight="false" outlineLevel="0" collapsed="false">
      <c r="A1330" s="13" t="str">
        <f aca="false">IF(Prices!A1330="","",Prices!A1330)</f>
        <v/>
      </c>
      <c r="B1330" s="14" t="str">
        <f aca="false">IF(A1330="","",Prices!C1330)</f>
        <v/>
      </c>
      <c r="C1330" s="15" t="str">
        <f aca="false">IF(A1330="","",IFERROR(INDEX(FX!$B:$B,MATCH(A1330,FX!$A:$A,1)),""))</f>
        <v/>
      </c>
      <c r="D1330" s="14" t="str">
        <f aca="false">IF(A1330="","",SUMIFS(Transactions!$D:$D,Transactions!$A:$A,"&lt;="&amp;A1330,Transactions!$B:$B,Settings!$B$1))</f>
        <v/>
      </c>
      <c r="E1330" s="14" t="str">
        <f aca="false">IF(A1330="","",SUMIFS(Transactions!$C:$C,Transactions!$A:$A,"&lt;="&amp;A1330,Transactions!$B:$B,Settings!$B$1)+SUMIFS(Transactions!$F:$F,Transactions!$A:$A,"&lt;="&amp;A1330,Transactions!$B:$B,Settings!$B$1))</f>
        <v/>
      </c>
      <c r="F1330" s="14" t="str">
        <f aca="false">IF(A1330="","",IF(C1330="","",D1330*B1330*C1330))</f>
        <v/>
      </c>
      <c r="G1330" s="14" t="str">
        <f aca="false">IF(F1330="","",F1330-E1330)</f>
        <v/>
      </c>
      <c r="H1330" s="14" t="str">
        <f aca="false">IF(F1330="","",IFERROR(F1330-F1329-(E1330-E1329),0))</f>
        <v/>
      </c>
    </row>
    <row r="1331" customFormat="false" ht="15" hidden="false" customHeight="false" outlineLevel="0" collapsed="false">
      <c r="A1331" s="13" t="str">
        <f aca="false">IF(Prices!A1331="","",Prices!A1331)</f>
        <v/>
      </c>
      <c r="B1331" s="14" t="str">
        <f aca="false">IF(A1331="","",Prices!C1331)</f>
        <v/>
      </c>
      <c r="C1331" s="15" t="str">
        <f aca="false">IF(A1331="","",IFERROR(INDEX(FX!$B:$B,MATCH(A1331,FX!$A:$A,1)),""))</f>
        <v/>
      </c>
      <c r="D1331" s="14" t="str">
        <f aca="false">IF(A1331="","",SUMIFS(Transactions!$D:$D,Transactions!$A:$A,"&lt;="&amp;A1331,Transactions!$B:$B,Settings!$B$1))</f>
        <v/>
      </c>
      <c r="E1331" s="14" t="str">
        <f aca="false">IF(A1331="","",SUMIFS(Transactions!$C:$C,Transactions!$A:$A,"&lt;="&amp;A1331,Transactions!$B:$B,Settings!$B$1)+SUMIFS(Transactions!$F:$F,Transactions!$A:$A,"&lt;="&amp;A1331,Transactions!$B:$B,Settings!$B$1))</f>
        <v/>
      </c>
      <c r="F1331" s="14" t="str">
        <f aca="false">IF(A1331="","",IF(C1331="","",D1331*B1331*C1331))</f>
        <v/>
      </c>
      <c r="G1331" s="14" t="str">
        <f aca="false">IF(F1331="","",F1331-E1331)</f>
        <v/>
      </c>
      <c r="H1331" s="14" t="str">
        <f aca="false">IF(F1331="","",IFERROR(F1331-F1330-(E1331-E1330),0))</f>
        <v/>
      </c>
    </row>
    <row r="1332" customFormat="false" ht="15" hidden="false" customHeight="false" outlineLevel="0" collapsed="false">
      <c r="A1332" s="13" t="str">
        <f aca="false">IF(Prices!A1332="","",Prices!A1332)</f>
        <v/>
      </c>
      <c r="B1332" s="14" t="str">
        <f aca="false">IF(A1332="","",Prices!C1332)</f>
        <v/>
      </c>
      <c r="C1332" s="15" t="str">
        <f aca="false">IF(A1332="","",IFERROR(INDEX(FX!$B:$B,MATCH(A1332,FX!$A:$A,1)),""))</f>
        <v/>
      </c>
      <c r="D1332" s="14" t="str">
        <f aca="false">IF(A1332="","",SUMIFS(Transactions!$D:$D,Transactions!$A:$A,"&lt;="&amp;A1332,Transactions!$B:$B,Settings!$B$1))</f>
        <v/>
      </c>
      <c r="E1332" s="14" t="str">
        <f aca="false">IF(A1332="","",SUMIFS(Transactions!$C:$C,Transactions!$A:$A,"&lt;="&amp;A1332,Transactions!$B:$B,Settings!$B$1)+SUMIFS(Transactions!$F:$F,Transactions!$A:$A,"&lt;="&amp;A1332,Transactions!$B:$B,Settings!$B$1))</f>
        <v/>
      </c>
      <c r="F1332" s="14" t="str">
        <f aca="false">IF(A1332="","",IF(C1332="","",D1332*B1332*C1332))</f>
        <v/>
      </c>
      <c r="G1332" s="14" t="str">
        <f aca="false">IF(F1332="","",F1332-E1332)</f>
        <v/>
      </c>
      <c r="H1332" s="14" t="str">
        <f aca="false">IF(F1332="","",IFERROR(F1332-F1331-(E1332-E1331),0))</f>
        <v/>
      </c>
    </row>
    <row r="1333" customFormat="false" ht="15" hidden="false" customHeight="false" outlineLevel="0" collapsed="false">
      <c r="A1333" s="13" t="str">
        <f aca="false">IF(Prices!A1333="","",Prices!A1333)</f>
        <v/>
      </c>
      <c r="B1333" s="14" t="str">
        <f aca="false">IF(A1333="","",Prices!C1333)</f>
        <v/>
      </c>
      <c r="C1333" s="15" t="str">
        <f aca="false">IF(A1333="","",IFERROR(INDEX(FX!$B:$B,MATCH(A1333,FX!$A:$A,1)),""))</f>
        <v/>
      </c>
      <c r="D1333" s="14" t="str">
        <f aca="false">IF(A1333="","",SUMIFS(Transactions!$D:$D,Transactions!$A:$A,"&lt;="&amp;A1333,Transactions!$B:$B,Settings!$B$1))</f>
        <v/>
      </c>
      <c r="E1333" s="14" t="str">
        <f aca="false">IF(A1333="","",SUMIFS(Transactions!$C:$C,Transactions!$A:$A,"&lt;="&amp;A1333,Transactions!$B:$B,Settings!$B$1)+SUMIFS(Transactions!$F:$F,Transactions!$A:$A,"&lt;="&amp;A1333,Transactions!$B:$B,Settings!$B$1))</f>
        <v/>
      </c>
      <c r="F1333" s="14" t="str">
        <f aca="false">IF(A1333="","",IF(C1333="","",D1333*B1333*C1333))</f>
        <v/>
      </c>
      <c r="G1333" s="14" t="str">
        <f aca="false">IF(F1333="","",F1333-E1333)</f>
        <v/>
      </c>
      <c r="H1333" s="14" t="str">
        <f aca="false">IF(F1333="","",IFERROR(F1333-F1332-(E1333-E1332),0))</f>
        <v/>
      </c>
    </row>
    <row r="1334" customFormat="false" ht="15" hidden="false" customHeight="false" outlineLevel="0" collapsed="false">
      <c r="A1334" s="13" t="str">
        <f aca="false">IF(Prices!A1334="","",Prices!A1334)</f>
        <v/>
      </c>
      <c r="B1334" s="14" t="str">
        <f aca="false">IF(A1334="","",Prices!C1334)</f>
        <v/>
      </c>
      <c r="C1334" s="15" t="str">
        <f aca="false">IF(A1334="","",IFERROR(INDEX(FX!$B:$B,MATCH(A1334,FX!$A:$A,1)),""))</f>
        <v/>
      </c>
      <c r="D1334" s="14" t="str">
        <f aca="false">IF(A1334="","",SUMIFS(Transactions!$D:$D,Transactions!$A:$A,"&lt;="&amp;A1334,Transactions!$B:$B,Settings!$B$1))</f>
        <v/>
      </c>
      <c r="E1334" s="14" t="str">
        <f aca="false">IF(A1334="","",SUMIFS(Transactions!$C:$C,Transactions!$A:$A,"&lt;="&amp;A1334,Transactions!$B:$B,Settings!$B$1)+SUMIFS(Transactions!$F:$F,Transactions!$A:$A,"&lt;="&amp;A1334,Transactions!$B:$B,Settings!$B$1))</f>
        <v/>
      </c>
      <c r="F1334" s="14" t="str">
        <f aca="false">IF(A1334="","",IF(C1334="","",D1334*B1334*C1334))</f>
        <v/>
      </c>
      <c r="G1334" s="14" t="str">
        <f aca="false">IF(F1334="","",F1334-E1334)</f>
        <v/>
      </c>
      <c r="H1334" s="14" t="str">
        <f aca="false">IF(F1334="","",IFERROR(F1334-F1333-(E1334-E1333),0))</f>
        <v/>
      </c>
    </row>
    <row r="1335" customFormat="false" ht="15" hidden="false" customHeight="false" outlineLevel="0" collapsed="false">
      <c r="A1335" s="13" t="str">
        <f aca="false">IF(Prices!A1335="","",Prices!A1335)</f>
        <v/>
      </c>
      <c r="B1335" s="14" t="str">
        <f aca="false">IF(A1335="","",Prices!C1335)</f>
        <v/>
      </c>
      <c r="C1335" s="15" t="str">
        <f aca="false">IF(A1335="","",IFERROR(INDEX(FX!$B:$B,MATCH(A1335,FX!$A:$A,1)),""))</f>
        <v/>
      </c>
      <c r="D1335" s="14" t="str">
        <f aca="false">IF(A1335="","",SUMIFS(Transactions!$D:$D,Transactions!$A:$A,"&lt;="&amp;A1335,Transactions!$B:$B,Settings!$B$1))</f>
        <v/>
      </c>
      <c r="E1335" s="14" t="str">
        <f aca="false">IF(A1335="","",SUMIFS(Transactions!$C:$C,Transactions!$A:$A,"&lt;="&amp;A1335,Transactions!$B:$B,Settings!$B$1)+SUMIFS(Transactions!$F:$F,Transactions!$A:$A,"&lt;="&amp;A1335,Transactions!$B:$B,Settings!$B$1))</f>
        <v/>
      </c>
      <c r="F1335" s="14" t="str">
        <f aca="false">IF(A1335="","",IF(C1335="","",D1335*B1335*C1335))</f>
        <v/>
      </c>
      <c r="G1335" s="14" t="str">
        <f aca="false">IF(F1335="","",F1335-E1335)</f>
        <v/>
      </c>
      <c r="H1335" s="14" t="str">
        <f aca="false">IF(F1335="","",IFERROR(F1335-F1334-(E1335-E1334),0))</f>
        <v/>
      </c>
    </row>
    <row r="1336" customFormat="false" ht="15" hidden="false" customHeight="false" outlineLevel="0" collapsed="false">
      <c r="A1336" s="13" t="str">
        <f aca="false">IF(Prices!A1336="","",Prices!A1336)</f>
        <v/>
      </c>
      <c r="B1336" s="14" t="str">
        <f aca="false">IF(A1336="","",Prices!C1336)</f>
        <v/>
      </c>
      <c r="C1336" s="15" t="str">
        <f aca="false">IF(A1336="","",IFERROR(INDEX(FX!$B:$B,MATCH(A1336,FX!$A:$A,1)),""))</f>
        <v/>
      </c>
      <c r="D1336" s="14" t="str">
        <f aca="false">IF(A1336="","",SUMIFS(Transactions!$D:$D,Transactions!$A:$A,"&lt;="&amp;A1336,Transactions!$B:$B,Settings!$B$1))</f>
        <v/>
      </c>
      <c r="E1336" s="14" t="str">
        <f aca="false">IF(A1336="","",SUMIFS(Transactions!$C:$C,Transactions!$A:$A,"&lt;="&amp;A1336,Transactions!$B:$B,Settings!$B$1)+SUMIFS(Transactions!$F:$F,Transactions!$A:$A,"&lt;="&amp;A1336,Transactions!$B:$B,Settings!$B$1))</f>
        <v/>
      </c>
      <c r="F1336" s="14" t="str">
        <f aca="false">IF(A1336="","",IF(C1336="","",D1336*B1336*C1336))</f>
        <v/>
      </c>
      <c r="G1336" s="14" t="str">
        <f aca="false">IF(F1336="","",F1336-E1336)</f>
        <v/>
      </c>
      <c r="H1336" s="14" t="str">
        <f aca="false">IF(F1336="","",IFERROR(F1336-F1335-(E1336-E1335),0))</f>
        <v/>
      </c>
    </row>
    <row r="1337" customFormat="false" ht="15" hidden="false" customHeight="false" outlineLevel="0" collapsed="false">
      <c r="A1337" s="13" t="str">
        <f aca="false">IF(Prices!A1337="","",Prices!A1337)</f>
        <v/>
      </c>
      <c r="B1337" s="14" t="str">
        <f aca="false">IF(A1337="","",Prices!C1337)</f>
        <v/>
      </c>
      <c r="C1337" s="15" t="str">
        <f aca="false">IF(A1337="","",IFERROR(INDEX(FX!$B:$B,MATCH(A1337,FX!$A:$A,1)),""))</f>
        <v/>
      </c>
      <c r="D1337" s="14" t="str">
        <f aca="false">IF(A1337="","",SUMIFS(Transactions!$D:$D,Transactions!$A:$A,"&lt;="&amp;A1337,Transactions!$B:$B,Settings!$B$1))</f>
        <v/>
      </c>
      <c r="E1337" s="14" t="str">
        <f aca="false">IF(A1337="","",SUMIFS(Transactions!$C:$C,Transactions!$A:$A,"&lt;="&amp;A1337,Transactions!$B:$B,Settings!$B$1)+SUMIFS(Transactions!$F:$F,Transactions!$A:$A,"&lt;="&amp;A1337,Transactions!$B:$B,Settings!$B$1))</f>
        <v/>
      </c>
      <c r="F1337" s="14" t="str">
        <f aca="false">IF(A1337="","",IF(C1337="","",D1337*B1337*C1337))</f>
        <v/>
      </c>
      <c r="G1337" s="14" t="str">
        <f aca="false">IF(F1337="","",F1337-E1337)</f>
        <v/>
      </c>
      <c r="H1337" s="14" t="str">
        <f aca="false">IF(F1337="","",IFERROR(F1337-F1336-(E1337-E1336),0))</f>
        <v/>
      </c>
    </row>
    <row r="1338" customFormat="false" ht="15" hidden="false" customHeight="false" outlineLevel="0" collapsed="false">
      <c r="A1338" s="13" t="str">
        <f aca="false">IF(Prices!A1338="","",Prices!A1338)</f>
        <v/>
      </c>
      <c r="B1338" s="14" t="str">
        <f aca="false">IF(A1338="","",Prices!C1338)</f>
        <v/>
      </c>
      <c r="C1338" s="15" t="str">
        <f aca="false">IF(A1338="","",IFERROR(INDEX(FX!$B:$B,MATCH(A1338,FX!$A:$A,1)),""))</f>
        <v/>
      </c>
      <c r="D1338" s="14" t="str">
        <f aca="false">IF(A1338="","",SUMIFS(Transactions!$D:$D,Transactions!$A:$A,"&lt;="&amp;A1338,Transactions!$B:$B,Settings!$B$1))</f>
        <v/>
      </c>
      <c r="E1338" s="14" t="str">
        <f aca="false">IF(A1338="","",SUMIFS(Transactions!$C:$C,Transactions!$A:$A,"&lt;="&amp;A1338,Transactions!$B:$B,Settings!$B$1)+SUMIFS(Transactions!$F:$F,Transactions!$A:$A,"&lt;="&amp;A1338,Transactions!$B:$B,Settings!$B$1))</f>
        <v/>
      </c>
      <c r="F1338" s="14" t="str">
        <f aca="false">IF(A1338="","",IF(C1338="","",D1338*B1338*C1338))</f>
        <v/>
      </c>
      <c r="G1338" s="14" t="str">
        <f aca="false">IF(F1338="","",F1338-E1338)</f>
        <v/>
      </c>
      <c r="H1338" s="14" t="str">
        <f aca="false">IF(F1338="","",IFERROR(F1338-F1337-(E1338-E1337),0))</f>
        <v/>
      </c>
    </row>
    <row r="1339" customFormat="false" ht="15" hidden="false" customHeight="false" outlineLevel="0" collapsed="false">
      <c r="A1339" s="13" t="str">
        <f aca="false">IF(Prices!A1339="","",Prices!A1339)</f>
        <v/>
      </c>
      <c r="B1339" s="14" t="str">
        <f aca="false">IF(A1339="","",Prices!C1339)</f>
        <v/>
      </c>
      <c r="C1339" s="15" t="str">
        <f aca="false">IF(A1339="","",IFERROR(INDEX(FX!$B:$B,MATCH(A1339,FX!$A:$A,1)),""))</f>
        <v/>
      </c>
      <c r="D1339" s="14" t="str">
        <f aca="false">IF(A1339="","",SUMIFS(Transactions!$D:$D,Transactions!$A:$A,"&lt;="&amp;A1339,Transactions!$B:$B,Settings!$B$1))</f>
        <v/>
      </c>
      <c r="E1339" s="14" t="str">
        <f aca="false">IF(A1339="","",SUMIFS(Transactions!$C:$C,Transactions!$A:$A,"&lt;="&amp;A1339,Transactions!$B:$B,Settings!$B$1)+SUMIFS(Transactions!$F:$F,Transactions!$A:$A,"&lt;="&amp;A1339,Transactions!$B:$B,Settings!$B$1))</f>
        <v/>
      </c>
      <c r="F1339" s="14" t="str">
        <f aca="false">IF(A1339="","",IF(C1339="","",D1339*B1339*C1339))</f>
        <v/>
      </c>
      <c r="G1339" s="14" t="str">
        <f aca="false">IF(F1339="","",F1339-E1339)</f>
        <v/>
      </c>
      <c r="H1339" s="14" t="str">
        <f aca="false">IF(F1339="","",IFERROR(F1339-F1338-(E1339-E1338),0))</f>
        <v/>
      </c>
    </row>
    <row r="1340" customFormat="false" ht="15" hidden="false" customHeight="false" outlineLevel="0" collapsed="false">
      <c r="A1340" s="13" t="str">
        <f aca="false">IF(Prices!A1340="","",Prices!A1340)</f>
        <v/>
      </c>
      <c r="B1340" s="14" t="str">
        <f aca="false">IF(A1340="","",Prices!C1340)</f>
        <v/>
      </c>
      <c r="C1340" s="15" t="str">
        <f aca="false">IF(A1340="","",IFERROR(INDEX(FX!$B:$B,MATCH(A1340,FX!$A:$A,1)),""))</f>
        <v/>
      </c>
      <c r="D1340" s="14" t="str">
        <f aca="false">IF(A1340="","",SUMIFS(Transactions!$D:$D,Transactions!$A:$A,"&lt;="&amp;A1340,Transactions!$B:$B,Settings!$B$1))</f>
        <v/>
      </c>
      <c r="E1340" s="14" t="str">
        <f aca="false">IF(A1340="","",SUMIFS(Transactions!$C:$C,Transactions!$A:$A,"&lt;="&amp;A1340,Transactions!$B:$B,Settings!$B$1)+SUMIFS(Transactions!$F:$F,Transactions!$A:$A,"&lt;="&amp;A1340,Transactions!$B:$B,Settings!$B$1))</f>
        <v/>
      </c>
      <c r="F1340" s="14" t="str">
        <f aca="false">IF(A1340="","",IF(C1340="","",D1340*B1340*C1340))</f>
        <v/>
      </c>
      <c r="G1340" s="14" t="str">
        <f aca="false">IF(F1340="","",F1340-E1340)</f>
        <v/>
      </c>
      <c r="H1340" s="14" t="str">
        <f aca="false">IF(F1340="","",IFERROR(F1340-F1339-(E1340-E1339),0))</f>
        <v/>
      </c>
    </row>
    <row r="1341" customFormat="false" ht="15" hidden="false" customHeight="false" outlineLevel="0" collapsed="false">
      <c r="A1341" s="13" t="str">
        <f aca="false">IF(Prices!A1341="","",Prices!A1341)</f>
        <v/>
      </c>
      <c r="B1341" s="14" t="str">
        <f aca="false">IF(A1341="","",Prices!C1341)</f>
        <v/>
      </c>
      <c r="C1341" s="15" t="str">
        <f aca="false">IF(A1341="","",IFERROR(INDEX(FX!$B:$B,MATCH(A1341,FX!$A:$A,1)),""))</f>
        <v/>
      </c>
      <c r="D1341" s="14" t="str">
        <f aca="false">IF(A1341="","",SUMIFS(Transactions!$D:$D,Transactions!$A:$A,"&lt;="&amp;A1341,Transactions!$B:$B,Settings!$B$1))</f>
        <v/>
      </c>
      <c r="E1341" s="14" t="str">
        <f aca="false">IF(A1341="","",SUMIFS(Transactions!$C:$C,Transactions!$A:$A,"&lt;="&amp;A1341,Transactions!$B:$B,Settings!$B$1)+SUMIFS(Transactions!$F:$F,Transactions!$A:$A,"&lt;="&amp;A1341,Transactions!$B:$B,Settings!$B$1))</f>
        <v/>
      </c>
      <c r="F1341" s="14" t="str">
        <f aca="false">IF(A1341="","",IF(C1341="","",D1341*B1341*C1341))</f>
        <v/>
      </c>
      <c r="G1341" s="14" t="str">
        <f aca="false">IF(F1341="","",F1341-E1341)</f>
        <v/>
      </c>
      <c r="H1341" s="14" t="str">
        <f aca="false">IF(F1341="","",IFERROR(F1341-F1340-(E1341-E1340),0))</f>
        <v/>
      </c>
    </row>
    <row r="1342" customFormat="false" ht="15" hidden="false" customHeight="false" outlineLevel="0" collapsed="false">
      <c r="A1342" s="13" t="str">
        <f aca="false">IF(Prices!A1342="","",Prices!A1342)</f>
        <v/>
      </c>
      <c r="B1342" s="14" t="str">
        <f aca="false">IF(A1342="","",Prices!C1342)</f>
        <v/>
      </c>
      <c r="C1342" s="15" t="str">
        <f aca="false">IF(A1342="","",IFERROR(INDEX(FX!$B:$B,MATCH(A1342,FX!$A:$A,1)),""))</f>
        <v/>
      </c>
      <c r="D1342" s="14" t="str">
        <f aca="false">IF(A1342="","",SUMIFS(Transactions!$D:$D,Transactions!$A:$A,"&lt;="&amp;A1342,Transactions!$B:$B,Settings!$B$1))</f>
        <v/>
      </c>
      <c r="E1342" s="14" t="str">
        <f aca="false">IF(A1342="","",SUMIFS(Transactions!$C:$C,Transactions!$A:$A,"&lt;="&amp;A1342,Transactions!$B:$B,Settings!$B$1)+SUMIFS(Transactions!$F:$F,Transactions!$A:$A,"&lt;="&amp;A1342,Transactions!$B:$B,Settings!$B$1))</f>
        <v/>
      </c>
      <c r="F1342" s="14" t="str">
        <f aca="false">IF(A1342="","",IF(C1342="","",D1342*B1342*C1342))</f>
        <v/>
      </c>
      <c r="G1342" s="14" t="str">
        <f aca="false">IF(F1342="","",F1342-E1342)</f>
        <v/>
      </c>
      <c r="H1342" s="14" t="str">
        <f aca="false">IF(F1342="","",IFERROR(F1342-F1341-(E1342-E1341),0))</f>
        <v/>
      </c>
    </row>
    <row r="1343" customFormat="false" ht="15" hidden="false" customHeight="false" outlineLevel="0" collapsed="false">
      <c r="A1343" s="13" t="str">
        <f aca="false">IF(Prices!A1343="","",Prices!A1343)</f>
        <v/>
      </c>
      <c r="B1343" s="14" t="str">
        <f aca="false">IF(A1343="","",Prices!C1343)</f>
        <v/>
      </c>
      <c r="C1343" s="15" t="str">
        <f aca="false">IF(A1343="","",IFERROR(INDEX(FX!$B:$B,MATCH(A1343,FX!$A:$A,1)),""))</f>
        <v/>
      </c>
      <c r="D1343" s="14" t="str">
        <f aca="false">IF(A1343="","",SUMIFS(Transactions!$D:$D,Transactions!$A:$A,"&lt;="&amp;A1343,Transactions!$B:$B,Settings!$B$1))</f>
        <v/>
      </c>
      <c r="E1343" s="14" t="str">
        <f aca="false">IF(A1343="","",SUMIFS(Transactions!$C:$C,Transactions!$A:$A,"&lt;="&amp;A1343,Transactions!$B:$B,Settings!$B$1)+SUMIFS(Transactions!$F:$F,Transactions!$A:$A,"&lt;="&amp;A1343,Transactions!$B:$B,Settings!$B$1))</f>
        <v/>
      </c>
      <c r="F1343" s="14" t="str">
        <f aca="false">IF(A1343="","",IF(C1343="","",D1343*B1343*C1343))</f>
        <v/>
      </c>
      <c r="G1343" s="14" t="str">
        <f aca="false">IF(F1343="","",F1343-E1343)</f>
        <v/>
      </c>
      <c r="H1343" s="14" t="str">
        <f aca="false">IF(F1343="","",IFERROR(F1343-F1342-(E1343-E1342),0))</f>
        <v/>
      </c>
    </row>
    <row r="1344" customFormat="false" ht="15" hidden="false" customHeight="false" outlineLevel="0" collapsed="false">
      <c r="A1344" s="13" t="str">
        <f aca="false">IF(Prices!A1344="","",Prices!A1344)</f>
        <v/>
      </c>
      <c r="B1344" s="14" t="str">
        <f aca="false">IF(A1344="","",Prices!C1344)</f>
        <v/>
      </c>
      <c r="C1344" s="15" t="str">
        <f aca="false">IF(A1344="","",IFERROR(INDEX(FX!$B:$B,MATCH(A1344,FX!$A:$A,1)),""))</f>
        <v/>
      </c>
      <c r="D1344" s="14" t="str">
        <f aca="false">IF(A1344="","",SUMIFS(Transactions!$D:$D,Transactions!$A:$A,"&lt;="&amp;A1344,Transactions!$B:$B,Settings!$B$1))</f>
        <v/>
      </c>
      <c r="E1344" s="14" t="str">
        <f aca="false">IF(A1344="","",SUMIFS(Transactions!$C:$C,Transactions!$A:$A,"&lt;="&amp;A1344,Transactions!$B:$B,Settings!$B$1)+SUMIFS(Transactions!$F:$F,Transactions!$A:$A,"&lt;="&amp;A1344,Transactions!$B:$B,Settings!$B$1))</f>
        <v/>
      </c>
      <c r="F1344" s="14" t="str">
        <f aca="false">IF(A1344="","",IF(C1344="","",D1344*B1344*C1344))</f>
        <v/>
      </c>
      <c r="G1344" s="14" t="str">
        <f aca="false">IF(F1344="","",F1344-E1344)</f>
        <v/>
      </c>
      <c r="H1344" s="14" t="str">
        <f aca="false">IF(F1344="","",IFERROR(F1344-F1343-(E1344-E1343),0))</f>
        <v/>
      </c>
    </row>
    <row r="1345" customFormat="false" ht="15" hidden="false" customHeight="false" outlineLevel="0" collapsed="false">
      <c r="A1345" s="13" t="str">
        <f aca="false">IF(Prices!A1345="","",Prices!A1345)</f>
        <v/>
      </c>
      <c r="B1345" s="14" t="str">
        <f aca="false">IF(A1345="","",Prices!C1345)</f>
        <v/>
      </c>
      <c r="C1345" s="15" t="str">
        <f aca="false">IF(A1345="","",IFERROR(INDEX(FX!$B:$B,MATCH(A1345,FX!$A:$A,1)),""))</f>
        <v/>
      </c>
      <c r="D1345" s="14" t="str">
        <f aca="false">IF(A1345="","",SUMIFS(Transactions!$D:$D,Transactions!$A:$A,"&lt;="&amp;A1345,Transactions!$B:$B,Settings!$B$1))</f>
        <v/>
      </c>
      <c r="E1345" s="14" t="str">
        <f aca="false">IF(A1345="","",SUMIFS(Transactions!$C:$C,Transactions!$A:$A,"&lt;="&amp;A1345,Transactions!$B:$B,Settings!$B$1)+SUMIFS(Transactions!$F:$F,Transactions!$A:$A,"&lt;="&amp;A1345,Transactions!$B:$B,Settings!$B$1))</f>
        <v/>
      </c>
      <c r="F1345" s="14" t="str">
        <f aca="false">IF(A1345="","",IF(C1345="","",D1345*B1345*C1345))</f>
        <v/>
      </c>
      <c r="G1345" s="14" t="str">
        <f aca="false">IF(F1345="","",F1345-E1345)</f>
        <v/>
      </c>
      <c r="H1345" s="14" t="str">
        <f aca="false">IF(F1345="","",IFERROR(F1345-F1344-(E1345-E1344),0))</f>
        <v/>
      </c>
    </row>
    <row r="1346" customFormat="false" ht="15" hidden="false" customHeight="false" outlineLevel="0" collapsed="false">
      <c r="A1346" s="13" t="str">
        <f aca="false">IF(Prices!A1346="","",Prices!A1346)</f>
        <v/>
      </c>
      <c r="B1346" s="14" t="str">
        <f aca="false">IF(A1346="","",Prices!C1346)</f>
        <v/>
      </c>
      <c r="C1346" s="15" t="str">
        <f aca="false">IF(A1346="","",IFERROR(INDEX(FX!$B:$B,MATCH(A1346,FX!$A:$A,1)),""))</f>
        <v/>
      </c>
      <c r="D1346" s="14" t="str">
        <f aca="false">IF(A1346="","",SUMIFS(Transactions!$D:$D,Transactions!$A:$A,"&lt;="&amp;A1346,Transactions!$B:$B,Settings!$B$1))</f>
        <v/>
      </c>
      <c r="E1346" s="14" t="str">
        <f aca="false">IF(A1346="","",SUMIFS(Transactions!$C:$C,Transactions!$A:$A,"&lt;="&amp;A1346,Transactions!$B:$B,Settings!$B$1)+SUMIFS(Transactions!$F:$F,Transactions!$A:$A,"&lt;="&amp;A1346,Transactions!$B:$B,Settings!$B$1))</f>
        <v/>
      </c>
      <c r="F1346" s="14" t="str">
        <f aca="false">IF(A1346="","",IF(C1346="","",D1346*B1346*C1346))</f>
        <v/>
      </c>
      <c r="G1346" s="14" t="str">
        <f aca="false">IF(F1346="","",F1346-E1346)</f>
        <v/>
      </c>
      <c r="H1346" s="14" t="str">
        <f aca="false">IF(F1346="","",IFERROR(F1346-F1345-(E1346-E1345),0))</f>
        <v/>
      </c>
    </row>
    <row r="1347" customFormat="false" ht="15" hidden="false" customHeight="false" outlineLevel="0" collapsed="false">
      <c r="A1347" s="13" t="str">
        <f aca="false">IF(Prices!A1347="","",Prices!A1347)</f>
        <v/>
      </c>
      <c r="B1347" s="14" t="str">
        <f aca="false">IF(A1347="","",Prices!C1347)</f>
        <v/>
      </c>
      <c r="C1347" s="15" t="str">
        <f aca="false">IF(A1347="","",IFERROR(INDEX(FX!$B:$B,MATCH(A1347,FX!$A:$A,1)),""))</f>
        <v/>
      </c>
      <c r="D1347" s="14" t="str">
        <f aca="false">IF(A1347="","",SUMIFS(Transactions!$D:$D,Transactions!$A:$A,"&lt;="&amp;A1347,Transactions!$B:$B,Settings!$B$1))</f>
        <v/>
      </c>
      <c r="E1347" s="14" t="str">
        <f aca="false">IF(A1347="","",SUMIFS(Transactions!$C:$C,Transactions!$A:$A,"&lt;="&amp;A1347,Transactions!$B:$B,Settings!$B$1)+SUMIFS(Transactions!$F:$F,Transactions!$A:$A,"&lt;="&amp;A1347,Transactions!$B:$B,Settings!$B$1))</f>
        <v/>
      </c>
      <c r="F1347" s="14" t="str">
        <f aca="false">IF(A1347="","",IF(C1347="","",D1347*B1347*C1347))</f>
        <v/>
      </c>
      <c r="G1347" s="14" t="str">
        <f aca="false">IF(F1347="","",F1347-E1347)</f>
        <v/>
      </c>
      <c r="H1347" s="14" t="str">
        <f aca="false">IF(F1347="","",IFERROR(F1347-F1346-(E1347-E1346),0))</f>
        <v/>
      </c>
    </row>
    <row r="1348" customFormat="false" ht="15" hidden="false" customHeight="false" outlineLevel="0" collapsed="false">
      <c r="A1348" s="13" t="str">
        <f aca="false">IF(Prices!A1348="","",Prices!A1348)</f>
        <v/>
      </c>
      <c r="B1348" s="14" t="str">
        <f aca="false">IF(A1348="","",Prices!C1348)</f>
        <v/>
      </c>
      <c r="C1348" s="15" t="str">
        <f aca="false">IF(A1348="","",IFERROR(INDEX(FX!$B:$B,MATCH(A1348,FX!$A:$A,1)),""))</f>
        <v/>
      </c>
      <c r="D1348" s="14" t="str">
        <f aca="false">IF(A1348="","",SUMIFS(Transactions!$D:$D,Transactions!$A:$A,"&lt;="&amp;A1348,Transactions!$B:$B,Settings!$B$1))</f>
        <v/>
      </c>
      <c r="E1348" s="14" t="str">
        <f aca="false">IF(A1348="","",SUMIFS(Transactions!$C:$C,Transactions!$A:$A,"&lt;="&amp;A1348,Transactions!$B:$B,Settings!$B$1)+SUMIFS(Transactions!$F:$F,Transactions!$A:$A,"&lt;="&amp;A1348,Transactions!$B:$B,Settings!$B$1))</f>
        <v/>
      </c>
      <c r="F1348" s="14" t="str">
        <f aca="false">IF(A1348="","",IF(C1348="","",D1348*B1348*C1348))</f>
        <v/>
      </c>
      <c r="G1348" s="14" t="str">
        <f aca="false">IF(F1348="","",F1348-E1348)</f>
        <v/>
      </c>
      <c r="H1348" s="14" t="str">
        <f aca="false">IF(F1348="","",IFERROR(F1348-F1347-(E1348-E1347),0))</f>
        <v/>
      </c>
    </row>
    <row r="1349" customFormat="false" ht="15" hidden="false" customHeight="false" outlineLevel="0" collapsed="false">
      <c r="A1349" s="13" t="str">
        <f aca="false">IF(Prices!A1349="","",Prices!A1349)</f>
        <v/>
      </c>
      <c r="B1349" s="14" t="str">
        <f aca="false">IF(A1349="","",Prices!C1349)</f>
        <v/>
      </c>
      <c r="C1349" s="15" t="str">
        <f aca="false">IF(A1349="","",IFERROR(INDEX(FX!$B:$B,MATCH(A1349,FX!$A:$A,1)),""))</f>
        <v/>
      </c>
      <c r="D1349" s="14" t="str">
        <f aca="false">IF(A1349="","",SUMIFS(Transactions!$D:$D,Transactions!$A:$A,"&lt;="&amp;A1349,Transactions!$B:$B,Settings!$B$1))</f>
        <v/>
      </c>
      <c r="E1349" s="14" t="str">
        <f aca="false">IF(A1349="","",SUMIFS(Transactions!$C:$C,Transactions!$A:$A,"&lt;="&amp;A1349,Transactions!$B:$B,Settings!$B$1)+SUMIFS(Transactions!$F:$F,Transactions!$A:$A,"&lt;="&amp;A1349,Transactions!$B:$B,Settings!$B$1))</f>
        <v/>
      </c>
      <c r="F1349" s="14" t="str">
        <f aca="false">IF(A1349="","",IF(C1349="","",D1349*B1349*C1349))</f>
        <v/>
      </c>
      <c r="G1349" s="14" t="str">
        <f aca="false">IF(F1349="","",F1349-E1349)</f>
        <v/>
      </c>
      <c r="H1349" s="14" t="str">
        <f aca="false">IF(F1349="","",IFERROR(F1349-F1348-(E1349-E1348),0))</f>
        <v/>
      </c>
    </row>
    <row r="1350" customFormat="false" ht="15" hidden="false" customHeight="false" outlineLevel="0" collapsed="false">
      <c r="A1350" s="13" t="str">
        <f aca="false">IF(Prices!A1350="","",Prices!A1350)</f>
        <v/>
      </c>
      <c r="B1350" s="14" t="str">
        <f aca="false">IF(A1350="","",Prices!C1350)</f>
        <v/>
      </c>
      <c r="C1350" s="15" t="str">
        <f aca="false">IF(A1350="","",IFERROR(INDEX(FX!$B:$B,MATCH(A1350,FX!$A:$A,1)),""))</f>
        <v/>
      </c>
      <c r="D1350" s="14" t="str">
        <f aca="false">IF(A1350="","",SUMIFS(Transactions!$D:$D,Transactions!$A:$A,"&lt;="&amp;A1350,Transactions!$B:$B,Settings!$B$1))</f>
        <v/>
      </c>
      <c r="E1350" s="14" t="str">
        <f aca="false">IF(A1350="","",SUMIFS(Transactions!$C:$C,Transactions!$A:$A,"&lt;="&amp;A1350,Transactions!$B:$B,Settings!$B$1)+SUMIFS(Transactions!$F:$F,Transactions!$A:$A,"&lt;="&amp;A1350,Transactions!$B:$B,Settings!$B$1))</f>
        <v/>
      </c>
      <c r="F1350" s="14" t="str">
        <f aca="false">IF(A1350="","",IF(C1350="","",D1350*B1350*C1350))</f>
        <v/>
      </c>
      <c r="G1350" s="14" t="str">
        <f aca="false">IF(F1350="","",F1350-E1350)</f>
        <v/>
      </c>
      <c r="H1350" s="14" t="str">
        <f aca="false">IF(F1350="","",IFERROR(F1350-F1349-(E1350-E1349),0))</f>
        <v/>
      </c>
    </row>
    <row r="1351" customFormat="false" ht="15" hidden="false" customHeight="false" outlineLevel="0" collapsed="false">
      <c r="A1351" s="13" t="str">
        <f aca="false">IF(Prices!A1351="","",Prices!A1351)</f>
        <v/>
      </c>
      <c r="B1351" s="14" t="str">
        <f aca="false">IF(A1351="","",Prices!C1351)</f>
        <v/>
      </c>
      <c r="C1351" s="15" t="str">
        <f aca="false">IF(A1351="","",IFERROR(INDEX(FX!$B:$B,MATCH(A1351,FX!$A:$A,1)),""))</f>
        <v/>
      </c>
      <c r="D1351" s="14" t="str">
        <f aca="false">IF(A1351="","",SUMIFS(Transactions!$D:$D,Transactions!$A:$A,"&lt;="&amp;A1351,Transactions!$B:$B,Settings!$B$1))</f>
        <v/>
      </c>
      <c r="E1351" s="14" t="str">
        <f aca="false">IF(A1351="","",SUMIFS(Transactions!$C:$C,Transactions!$A:$A,"&lt;="&amp;A1351,Transactions!$B:$B,Settings!$B$1)+SUMIFS(Transactions!$F:$F,Transactions!$A:$A,"&lt;="&amp;A1351,Transactions!$B:$B,Settings!$B$1))</f>
        <v/>
      </c>
      <c r="F1351" s="14" t="str">
        <f aca="false">IF(A1351="","",IF(C1351="","",D1351*B1351*C1351))</f>
        <v/>
      </c>
      <c r="G1351" s="14" t="str">
        <f aca="false">IF(F1351="","",F1351-E1351)</f>
        <v/>
      </c>
      <c r="H1351" s="14" t="str">
        <f aca="false">IF(F1351="","",IFERROR(F1351-F1350-(E1351-E1350),0))</f>
        <v/>
      </c>
    </row>
    <row r="1352" customFormat="false" ht="15" hidden="false" customHeight="false" outlineLevel="0" collapsed="false">
      <c r="A1352" s="13" t="str">
        <f aca="false">IF(Prices!A1352="","",Prices!A1352)</f>
        <v/>
      </c>
      <c r="B1352" s="14" t="str">
        <f aca="false">IF(A1352="","",Prices!C1352)</f>
        <v/>
      </c>
      <c r="C1352" s="15" t="str">
        <f aca="false">IF(A1352="","",IFERROR(INDEX(FX!$B:$B,MATCH(A1352,FX!$A:$A,1)),""))</f>
        <v/>
      </c>
      <c r="D1352" s="14" t="str">
        <f aca="false">IF(A1352="","",SUMIFS(Transactions!$D:$D,Transactions!$A:$A,"&lt;="&amp;A1352,Transactions!$B:$B,Settings!$B$1))</f>
        <v/>
      </c>
      <c r="E1352" s="14" t="str">
        <f aca="false">IF(A1352="","",SUMIFS(Transactions!$C:$C,Transactions!$A:$A,"&lt;="&amp;A1352,Transactions!$B:$B,Settings!$B$1)+SUMIFS(Transactions!$F:$F,Transactions!$A:$A,"&lt;="&amp;A1352,Transactions!$B:$B,Settings!$B$1))</f>
        <v/>
      </c>
      <c r="F1352" s="14" t="str">
        <f aca="false">IF(A1352="","",IF(C1352="","",D1352*B1352*C1352))</f>
        <v/>
      </c>
      <c r="G1352" s="14" t="str">
        <f aca="false">IF(F1352="","",F1352-E1352)</f>
        <v/>
      </c>
      <c r="H1352" s="14" t="str">
        <f aca="false">IF(F1352="","",IFERROR(F1352-F1351-(E1352-E1351),0))</f>
        <v/>
      </c>
    </row>
    <row r="1353" customFormat="false" ht="15" hidden="false" customHeight="false" outlineLevel="0" collapsed="false">
      <c r="A1353" s="13" t="str">
        <f aca="false">IF(Prices!A1353="","",Prices!A1353)</f>
        <v/>
      </c>
      <c r="B1353" s="14" t="str">
        <f aca="false">IF(A1353="","",Prices!C1353)</f>
        <v/>
      </c>
      <c r="C1353" s="15" t="str">
        <f aca="false">IF(A1353="","",IFERROR(INDEX(FX!$B:$B,MATCH(A1353,FX!$A:$A,1)),""))</f>
        <v/>
      </c>
      <c r="D1353" s="14" t="str">
        <f aca="false">IF(A1353="","",SUMIFS(Transactions!$D:$D,Transactions!$A:$A,"&lt;="&amp;A1353,Transactions!$B:$B,Settings!$B$1))</f>
        <v/>
      </c>
      <c r="E1353" s="14" t="str">
        <f aca="false">IF(A1353="","",SUMIFS(Transactions!$C:$C,Transactions!$A:$A,"&lt;="&amp;A1353,Transactions!$B:$B,Settings!$B$1)+SUMIFS(Transactions!$F:$F,Transactions!$A:$A,"&lt;="&amp;A1353,Transactions!$B:$B,Settings!$B$1))</f>
        <v/>
      </c>
      <c r="F1353" s="14" t="str">
        <f aca="false">IF(A1353="","",IF(C1353="","",D1353*B1353*C1353))</f>
        <v/>
      </c>
      <c r="G1353" s="14" t="str">
        <f aca="false">IF(F1353="","",F1353-E1353)</f>
        <v/>
      </c>
      <c r="H1353" s="14" t="str">
        <f aca="false">IF(F1353="","",IFERROR(F1353-F1352-(E1353-E1352),0))</f>
        <v/>
      </c>
    </row>
    <row r="1354" customFormat="false" ht="15" hidden="false" customHeight="false" outlineLevel="0" collapsed="false">
      <c r="A1354" s="13" t="str">
        <f aca="false">IF(Prices!A1354="","",Prices!A1354)</f>
        <v/>
      </c>
      <c r="B1354" s="14" t="str">
        <f aca="false">IF(A1354="","",Prices!C1354)</f>
        <v/>
      </c>
      <c r="C1354" s="15" t="str">
        <f aca="false">IF(A1354="","",IFERROR(INDEX(FX!$B:$B,MATCH(A1354,FX!$A:$A,1)),""))</f>
        <v/>
      </c>
      <c r="D1354" s="14" t="str">
        <f aca="false">IF(A1354="","",SUMIFS(Transactions!$D:$D,Transactions!$A:$A,"&lt;="&amp;A1354,Transactions!$B:$B,Settings!$B$1))</f>
        <v/>
      </c>
      <c r="E1354" s="14" t="str">
        <f aca="false">IF(A1354="","",SUMIFS(Transactions!$C:$C,Transactions!$A:$A,"&lt;="&amp;A1354,Transactions!$B:$B,Settings!$B$1)+SUMIFS(Transactions!$F:$F,Transactions!$A:$A,"&lt;="&amp;A1354,Transactions!$B:$B,Settings!$B$1))</f>
        <v/>
      </c>
      <c r="F1354" s="14" t="str">
        <f aca="false">IF(A1354="","",IF(C1354="","",D1354*B1354*C1354))</f>
        <v/>
      </c>
      <c r="G1354" s="14" t="str">
        <f aca="false">IF(F1354="","",F1354-E1354)</f>
        <v/>
      </c>
      <c r="H1354" s="14" t="str">
        <f aca="false">IF(F1354="","",IFERROR(F1354-F1353-(E1354-E1353),0))</f>
        <v/>
      </c>
    </row>
    <row r="1355" customFormat="false" ht="15" hidden="false" customHeight="false" outlineLevel="0" collapsed="false">
      <c r="A1355" s="13" t="str">
        <f aca="false">IF(Prices!A1355="","",Prices!A1355)</f>
        <v/>
      </c>
      <c r="B1355" s="14" t="str">
        <f aca="false">IF(A1355="","",Prices!C1355)</f>
        <v/>
      </c>
      <c r="C1355" s="15" t="str">
        <f aca="false">IF(A1355="","",IFERROR(INDEX(FX!$B:$B,MATCH(A1355,FX!$A:$A,1)),""))</f>
        <v/>
      </c>
      <c r="D1355" s="14" t="str">
        <f aca="false">IF(A1355="","",SUMIFS(Transactions!$D:$D,Transactions!$A:$A,"&lt;="&amp;A1355,Transactions!$B:$B,Settings!$B$1))</f>
        <v/>
      </c>
      <c r="E1355" s="14" t="str">
        <f aca="false">IF(A1355="","",SUMIFS(Transactions!$C:$C,Transactions!$A:$A,"&lt;="&amp;A1355,Transactions!$B:$B,Settings!$B$1)+SUMIFS(Transactions!$F:$F,Transactions!$A:$A,"&lt;="&amp;A1355,Transactions!$B:$B,Settings!$B$1))</f>
        <v/>
      </c>
      <c r="F1355" s="14" t="str">
        <f aca="false">IF(A1355="","",IF(C1355="","",D1355*B1355*C1355))</f>
        <v/>
      </c>
      <c r="G1355" s="14" t="str">
        <f aca="false">IF(F1355="","",F1355-E1355)</f>
        <v/>
      </c>
      <c r="H1355" s="14" t="str">
        <f aca="false">IF(F1355="","",IFERROR(F1355-F1354-(E1355-E1354),0))</f>
        <v/>
      </c>
    </row>
    <row r="1356" customFormat="false" ht="15" hidden="false" customHeight="false" outlineLevel="0" collapsed="false">
      <c r="A1356" s="13" t="str">
        <f aca="false">IF(Prices!A1356="","",Prices!A1356)</f>
        <v/>
      </c>
      <c r="B1356" s="14" t="str">
        <f aca="false">IF(A1356="","",Prices!C1356)</f>
        <v/>
      </c>
      <c r="C1356" s="15" t="str">
        <f aca="false">IF(A1356="","",IFERROR(INDEX(FX!$B:$B,MATCH(A1356,FX!$A:$A,1)),""))</f>
        <v/>
      </c>
      <c r="D1356" s="14" t="str">
        <f aca="false">IF(A1356="","",SUMIFS(Transactions!$D:$D,Transactions!$A:$A,"&lt;="&amp;A1356,Transactions!$B:$B,Settings!$B$1))</f>
        <v/>
      </c>
      <c r="E1356" s="14" t="str">
        <f aca="false">IF(A1356="","",SUMIFS(Transactions!$C:$C,Transactions!$A:$A,"&lt;="&amp;A1356,Transactions!$B:$B,Settings!$B$1)+SUMIFS(Transactions!$F:$F,Transactions!$A:$A,"&lt;="&amp;A1356,Transactions!$B:$B,Settings!$B$1))</f>
        <v/>
      </c>
      <c r="F1356" s="14" t="str">
        <f aca="false">IF(A1356="","",IF(C1356="","",D1356*B1356*C1356))</f>
        <v/>
      </c>
      <c r="G1356" s="14" t="str">
        <f aca="false">IF(F1356="","",F1356-E1356)</f>
        <v/>
      </c>
      <c r="H1356" s="14" t="str">
        <f aca="false">IF(F1356="","",IFERROR(F1356-F1355-(E1356-E1355),0))</f>
        <v/>
      </c>
    </row>
    <row r="1357" customFormat="false" ht="15" hidden="false" customHeight="false" outlineLevel="0" collapsed="false">
      <c r="A1357" s="13" t="str">
        <f aca="false">IF(Prices!A1357="","",Prices!A1357)</f>
        <v/>
      </c>
      <c r="B1357" s="14" t="str">
        <f aca="false">IF(A1357="","",Prices!C1357)</f>
        <v/>
      </c>
      <c r="C1357" s="15" t="str">
        <f aca="false">IF(A1357="","",IFERROR(INDEX(FX!$B:$B,MATCH(A1357,FX!$A:$A,1)),""))</f>
        <v/>
      </c>
      <c r="D1357" s="14" t="str">
        <f aca="false">IF(A1357="","",SUMIFS(Transactions!$D:$D,Transactions!$A:$A,"&lt;="&amp;A1357,Transactions!$B:$B,Settings!$B$1))</f>
        <v/>
      </c>
      <c r="E1357" s="14" t="str">
        <f aca="false">IF(A1357="","",SUMIFS(Transactions!$C:$C,Transactions!$A:$A,"&lt;="&amp;A1357,Transactions!$B:$B,Settings!$B$1)+SUMIFS(Transactions!$F:$F,Transactions!$A:$A,"&lt;="&amp;A1357,Transactions!$B:$B,Settings!$B$1))</f>
        <v/>
      </c>
      <c r="F1357" s="14" t="str">
        <f aca="false">IF(A1357="","",IF(C1357="","",D1357*B1357*C1357))</f>
        <v/>
      </c>
      <c r="G1357" s="14" t="str">
        <f aca="false">IF(F1357="","",F1357-E1357)</f>
        <v/>
      </c>
      <c r="H1357" s="14" t="str">
        <f aca="false">IF(F1357="","",IFERROR(F1357-F1356-(E1357-E1356),0))</f>
        <v/>
      </c>
    </row>
    <row r="1358" customFormat="false" ht="15" hidden="false" customHeight="false" outlineLevel="0" collapsed="false">
      <c r="A1358" s="13" t="str">
        <f aca="false">IF(Prices!A1358="","",Prices!A1358)</f>
        <v/>
      </c>
      <c r="B1358" s="14" t="str">
        <f aca="false">IF(A1358="","",Prices!C1358)</f>
        <v/>
      </c>
      <c r="C1358" s="15" t="str">
        <f aca="false">IF(A1358="","",IFERROR(INDEX(FX!$B:$B,MATCH(A1358,FX!$A:$A,1)),""))</f>
        <v/>
      </c>
      <c r="D1358" s="14" t="str">
        <f aca="false">IF(A1358="","",SUMIFS(Transactions!$D:$D,Transactions!$A:$A,"&lt;="&amp;A1358,Transactions!$B:$B,Settings!$B$1))</f>
        <v/>
      </c>
      <c r="E1358" s="14" t="str">
        <f aca="false">IF(A1358="","",SUMIFS(Transactions!$C:$C,Transactions!$A:$A,"&lt;="&amp;A1358,Transactions!$B:$B,Settings!$B$1)+SUMIFS(Transactions!$F:$F,Transactions!$A:$A,"&lt;="&amp;A1358,Transactions!$B:$B,Settings!$B$1))</f>
        <v/>
      </c>
      <c r="F1358" s="14" t="str">
        <f aca="false">IF(A1358="","",IF(C1358="","",D1358*B1358*C1358))</f>
        <v/>
      </c>
      <c r="G1358" s="14" t="str">
        <f aca="false">IF(F1358="","",F1358-E1358)</f>
        <v/>
      </c>
      <c r="H1358" s="14" t="str">
        <f aca="false">IF(F1358="","",IFERROR(F1358-F1357-(E1358-E1357),0))</f>
        <v/>
      </c>
    </row>
    <row r="1359" customFormat="false" ht="15" hidden="false" customHeight="false" outlineLevel="0" collapsed="false">
      <c r="A1359" s="13" t="str">
        <f aca="false">IF(Prices!A1359="","",Prices!A1359)</f>
        <v/>
      </c>
      <c r="B1359" s="14" t="str">
        <f aca="false">IF(A1359="","",Prices!C1359)</f>
        <v/>
      </c>
      <c r="C1359" s="15" t="str">
        <f aca="false">IF(A1359="","",IFERROR(INDEX(FX!$B:$B,MATCH(A1359,FX!$A:$A,1)),""))</f>
        <v/>
      </c>
      <c r="D1359" s="14" t="str">
        <f aca="false">IF(A1359="","",SUMIFS(Transactions!$D:$D,Transactions!$A:$A,"&lt;="&amp;A1359,Transactions!$B:$B,Settings!$B$1))</f>
        <v/>
      </c>
      <c r="E1359" s="14" t="str">
        <f aca="false">IF(A1359="","",SUMIFS(Transactions!$C:$C,Transactions!$A:$A,"&lt;="&amp;A1359,Transactions!$B:$B,Settings!$B$1)+SUMIFS(Transactions!$F:$F,Transactions!$A:$A,"&lt;="&amp;A1359,Transactions!$B:$B,Settings!$B$1))</f>
        <v/>
      </c>
      <c r="F1359" s="14" t="str">
        <f aca="false">IF(A1359="","",IF(C1359="","",D1359*B1359*C1359))</f>
        <v/>
      </c>
      <c r="G1359" s="14" t="str">
        <f aca="false">IF(F1359="","",F1359-E1359)</f>
        <v/>
      </c>
      <c r="H1359" s="14" t="str">
        <f aca="false">IF(F1359="","",IFERROR(F1359-F1358-(E1359-E1358),0))</f>
        <v/>
      </c>
    </row>
    <row r="1360" customFormat="false" ht="15" hidden="false" customHeight="false" outlineLevel="0" collapsed="false">
      <c r="A1360" s="13" t="str">
        <f aca="false">IF(Prices!A1360="","",Prices!A1360)</f>
        <v/>
      </c>
      <c r="B1360" s="14" t="str">
        <f aca="false">IF(A1360="","",Prices!C1360)</f>
        <v/>
      </c>
      <c r="C1360" s="15" t="str">
        <f aca="false">IF(A1360="","",IFERROR(INDEX(FX!$B:$B,MATCH(A1360,FX!$A:$A,1)),""))</f>
        <v/>
      </c>
      <c r="D1360" s="14" t="str">
        <f aca="false">IF(A1360="","",SUMIFS(Transactions!$D:$D,Transactions!$A:$A,"&lt;="&amp;A1360,Transactions!$B:$B,Settings!$B$1))</f>
        <v/>
      </c>
      <c r="E1360" s="14" t="str">
        <f aca="false">IF(A1360="","",SUMIFS(Transactions!$C:$C,Transactions!$A:$A,"&lt;="&amp;A1360,Transactions!$B:$B,Settings!$B$1)+SUMIFS(Transactions!$F:$F,Transactions!$A:$A,"&lt;="&amp;A1360,Transactions!$B:$B,Settings!$B$1))</f>
        <v/>
      </c>
      <c r="F1360" s="14" t="str">
        <f aca="false">IF(A1360="","",IF(C1360="","",D1360*B1360*C1360))</f>
        <v/>
      </c>
      <c r="G1360" s="14" t="str">
        <f aca="false">IF(F1360="","",F1360-E1360)</f>
        <v/>
      </c>
      <c r="H1360" s="14" t="str">
        <f aca="false">IF(F1360="","",IFERROR(F1360-F1359-(E1360-E1359),0))</f>
        <v/>
      </c>
    </row>
    <row r="1361" customFormat="false" ht="15" hidden="false" customHeight="false" outlineLevel="0" collapsed="false">
      <c r="A1361" s="13" t="str">
        <f aca="false">IF(Prices!A1361="","",Prices!A1361)</f>
        <v/>
      </c>
      <c r="B1361" s="14" t="str">
        <f aca="false">IF(A1361="","",Prices!C1361)</f>
        <v/>
      </c>
      <c r="C1361" s="15" t="str">
        <f aca="false">IF(A1361="","",IFERROR(INDEX(FX!$B:$B,MATCH(A1361,FX!$A:$A,1)),""))</f>
        <v/>
      </c>
      <c r="D1361" s="14" t="str">
        <f aca="false">IF(A1361="","",SUMIFS(Transactions!$D:$D,Transactions!$A:$A,"&lt;="&amp;A1361,Transactions!$B:$B,Settings!$B$1))</f>
        <v/>
      </c>
      <c r="E1361" s="14" t="str">
        <f aca="false">IF(A1361="","",SUMIFS(Transactions!$C:$C,Transactions!$A:$A,"&lt;="&amp;A1361,Transactions!$B:$B,Settings!$B$1)+SUMIFS(Transactions!$F:$F,Transactions!$A:$A,"&lt;="&amp;A1361,Transactions!$B:$B,Settings!$B$1))</f>
        <v/>
      </c>
      <c r="F1361" s="14" t="str">
        <f aca="false">IF(A1361="","",IF(C1361="","",D1361*B1361*C1361))</f>
        <v/>
      </c>
      <c r="G1361" s="14" t="str">
        <f aca="false">IF(F1361="","",F1361-E1361)</f>
        <v/>
      </c>
      <c r="H1361" s="14" t="str">
        <f aca="false">IF(F1361="","",IFERROR(F1361-F1360-(E1361-E1360),0))</f>
        <v/>
      </c>
    </row>
    <row r="1362" customFormat="false" ht="15" hidden="false" customHeight="false" outlineLevel="0" collapsed="false">
      <c r="A1362" s="13" t="str">
        <f aca="false">IF(Prices!A1362="","",Prices!A1362)</f>
        <v/>
      </c>
      <c r="B1362" s="14" t="str">
        <f aca="false">IF(A1362="","",Prices!C1362)</f>
        <v/>
      </c>
      <c r="C1362" s="15" t="str">
        <f aca="false">IF(A1362="","",IFERROR(INDEX(FX!$B:$B,MATCH(A1362,FX!$A:$A,1)),""))</f>
        <v/>
      </c>
      <c r="D1362" s="14" t="str">
        <f aca="false">IF(A1362="","",SUMIFS(Transactions!$D:$D,Transactions!$A:$A,"&lt;="&amp;A1362,Transactions!$B:$B,Settings!$B$1))</f>
        <v/>
      </c>
      <c r="E1362" s="14" t="str">
        <f aca="false">IF(A1362="","",SUMIFS(Transactions!$C:$C,Transactions!$A:$A,"&lt;="&amp;A1362,Transactions!$B:$B,Settings!$B$1)+SUMIFS(Transactions!$F:$F,Transactions!$A:$A,"&lt;="&amp;A1362,Transactions!$B:$B,Settings!$B$1))</f>
        <v/>
      </c>
      <c r="F1362" s="14" t="str">
        <f aca="false">IF(A1362="","",IF(C1362="","",D1362*B1362*C1362))</f>
        <v/>
      </c>
      <c r="G1362" s="14" t="str">
        <f aca="false">IF(F1362="","",F1362-E1362)</f>
        <v/>
      </c>
      <c r="H1362" s="14" t="str">
        <f aca="false">IF(F1362="","",IFERROR(F1362-F1361-(E1362-E1361),0))</f>
        <v/>
      </c>
    </row>
    <row r="1363" customFormat="false" ht="15" hidden="false" customHeight="false" outlineLevel="0" collapsed="false">
      <c r="A1363" s="13" t="str">
        <f aca="false">IF(Prices!A1363="","",Prices!A1363)</f>
        <v/>
      </c>
      <c r="B1363" s="14" t="str">
        <f aca="false">IF(A1363="","",Prices!C1363)</f>
        <v/>
      </c>
      <c r="C1363" s="15" t="str">
        <f aca="false">IF(A1363="","",IFERROR(INDEX(FX!$B:$B,MATCH(A1363,FX!$A:$A,1)),""))</f>
        <v/>
      </c>
      <c r="D1363" s="14" t="str">
        <f aca="false">IF(A1363="","",SUMIFS(Transactions!$D:$D,Transactions!$A:$A,"&lt;="&amp;A1363,Transactions!$B:$B,Settings!$B$1))</f>
        <v/>
      </c>
      <c r="E1363" s="14" t="str">
        <f aca="false">IF(A1363="","",SUMIFS(Transactions!$C:$C,Transactions!$A:$A,"&lt;="&amp;A1363,Transactions!$B:$B,Settings!$B$1)+SUMIFS(Transactions!$F:$F,Transactions!$A:$A,"&lt;="&amp;A1363,Transactions!$B:$B,Settings!$B$1))</f>
        <v/>
      </c>
      <c r="F1363" s="14" t="str">
        <f aca="false">IF(A1363="","",IF(C1363="","",D1363*B1363*C1363))</f>
        <v/>
      </c>
      <c r="G1363" s="14" t="str">
        <f aca="false">IF(F1363="","",F1363-E1363)</f>
        <v/>
      </c>
      <c r="H1363" s="14" t="str">
        <f aca="false">IF(F1363="","",IFERROR(F1363-F1362-(E1363-E1362),0))</f>
        <v/>
      </c>
    </row>
    <row r="1364" customFormat="false" ht="15" hidden="false" customHeight="false" outlineLevel="0" collapsed="false">
      <c r="A1364" s="13" t="str">
        <f aca="false">IF(Prices!A1364="","",Prices!A1364)</f>
        <v/>
      </c>
      <c r="B1364" s="14" t="str">
        <f aca="false">IF(A1364="","",Prices!C1364)</f>
        <v/>
      </c>
      <c r="C1364" s="15" t="str">
        <f aca="false">IF(A1364="","",IFERROR(INDEX(FX!$B:$B,MATCH(A1364,FX!$A:$A,1)),""))</f>
        <v/>
      </c>
      <c r="D1364" s="14" t="str">
        <f aca="false">IF(A1364="","",SUMIFS(Transactions!$D:$D,Transactions!$A:$A,"&lt;="&amp;A1364,Transactions!$B:$B,Settings!$B$1))</f>
        <v/>
      </c>
      <c r="E1364" s="14" t="str">
        <f aca="false">IF(A1364="","",SUMIFS(Transactions!$C:$C,Transactions!$A:$A,"&lt;="&amp;A1364,Transactions!$B:$B,Settings!$B$1)+SUMIFS(Transactions!$F:$F,Transactions!$A:$A,"&lt;="&amp;A1364,Transactions!$B:$B,Settings!$B$1))</f>
        <v/>
      </c>
      <c r="F1364" s="14" t="str">
        <f aca="false">IF(A1364="","",IF(C1364="","",D1364*B1364*C1364))</f>
        <v/>
      </c>
      <c r="G1364" s="14" t="str">
        <f aca="false">IF(F1364="","",F1364-E1364)</f>
        <v/>
      </c>
      <c r="H1364" s="14" t="str">
        <f aca="false">IF(F1364="","",IFERROR(F1364-F1363-(E1364-E1363),0))</f>
        <v/>
      </c>
    </row>
    <row r="1365" customFormat="false" ht="15" hidden="false" customHeight="false" outlineLevel="0" collapsed="false">
      <c r="A1365" s="13" t="str">
        <f aca="false">IF(Prices!A1365="","",Prices!A1365)</f>
        <v/>
      </c>
      <c r="B1365" s="14" t="str">
        <f aca="false">IF(A1365="","",Prices!C1365)</f>
        <v/>
      </c>
      <c r="C1365" s="15" t="str">
        <f aca="false">IF(A1365="","",IFERROR(INDEX(FX!$B:$B,MATCH(A1365,FX!$A:$A,1)),""))</f>
        <v/>
      </c>
      <c r="D1365" s="14" t="str">
        <f aca="false">IF(A1365="","",SUMIFS(Transactions!$D:$D,Transactions!$A:$A,"&lt;="&amp;A1365,Transactions!$B:$B,Settings!$B$1))</f>
        <v/>
      </c>
      <c r="E1365" s="14" t="str">
        <f aca="false">IF(A1365="","",SUMIFS(Transactions!$C:$C,Transactions!$A:$A,"&lt;="&amp;A1365,Transactions!$B:$B,Settings!$B$1)+SUMIFS(Transactions!$F:$F,Transactions!$A:$A,"&lt;="&amp;A1365,Transactions!$B:$B,Settings!$B$1))</f>
        <v/>
      </c>
      <c r="F1365" s="14" t="str">
        <f aca="false">IF(A1365="","",IF(C1365="","",D1365*B1365*C1365))</f>
        <v/>
      </c>
      <c r="G1365" s="14" t="str">
        <f aca="false">IF(F1365="","",F1365-E1365)</f>
        <v/>
      </c>
      <c r="H1365" s="14" t="str">
        <f aca="false">IF(F1365="","",IFERROR(F1365-F1364-(E1365-E1364),0))</f>
        <v/>
      </c>
    </row>
    <row r="1366" customFormat="false" ht="15" hidden="false" customHeight="false" outlineLevel="0" collapsed="false">
      <c r="A1366" s="13" t="str">
        <f aca="false">IF(Prices!A1366="","",Prices!A1366)</f>
        <v/>
      </c>
      <c r="B1366" s="14" t="str">
        <f aca="false">IF(A1366="","",Prices!C1366)</f>
        <v/>
      </c>
      <c r="C1366" s="15" t="str">
        <f aca="false">IF(A1366="","",IFERROR(INDEX(FX!$B:$B,MATCH(A1366,FX!$A:$A,1)),""))</f>
        <v/>
      </c>
      <c r="D1366" s="14" t="str">
        <f aca="false">IF(A1366="","",SUMIFS(Transactions!$D:$D,Transactions!$A:$A,"&lt;="&amp;A1366,Transactions!$B:$B,Settings!$B$1))</f>
        <v/>
      </c>
      <c r="E1366" s="14" t="str">
        <f aca="false">IF(A1366="","",SUMIFS(Transactions!$C:$C,Transactions!$A:$A,"&lt;="&amp;A1366,Transactions!$B:$B,Settings!$B$1)+SUMIFS(Transactions!$F:$F,Transactions!$A:$A,"&lt;="&amp;A1366,Transactions!$B:$B,Settings!$B$1))</f>
        <v/>
      </c>
      <c r="F1366" s="14" t="str">
        <f aca="false">IF(A1366="","",IF(C1366="","",D1366*B1366*C1366))</f>
        <v/>
      </c>
      <c r="G1366" s="14" t="str">
        <f aca="false">IF(F1366="","",F1366-E1366)</f>
        <v/>
      </c>
      <c r="H1366" s="14" t="str">
        <f aca="false">IF(F1366="","",IFERROR(F1366-F1365-(E1366-E1365),0))</f>
        <v/>
      </c>
    </row>
    <row r="1367" customFormat="false" ht="15" hidden="false" customHeight="false" outlineLevel="0" collapsed="false">
      <c r="A1367" s="13" t="str">
        <f aca="false">IF(Prices!A1367="","",Prices!A1367)</f>
        <v/>
      </c>
      <c r="B1367" s="14" t="str">
        <f aca="false">IF(A1367="","",Prices!C1367)</f>
        <v/>
      </c>
      <c r="C1367" s="15" t="str">
        <f aca="false">IF(A1367="","",IFERROR(INDEX(FX!$B:$B,MATCH(A1367,FX!$A:$A,1)),""))</f>
        <v/>
      </c>
      <c r="D1367" s="14" t="str">
        <f aca="false">IF(A1367="","",SUMIFS(Transactions!$D:$D,Transactions!$A:$A,"&lt;="&amp;A1367,Transactions!$B:$B,Settings!$B$1))</f>
        <v/>
      </c>
      <c r="E1367" s="14" t="str">
        <f aca="false">IF(A1367="","",SUMIFS(Transactions!$C:$C,Transactions!$A:$A,"&lt;="&amp;A1367,Transactions!$B:$B,Settings!$B$1)+SUMIFS(Transactions!$F:$F,Transactions!$A:$A,"&lt;="&amp;A1367,Transactions!$B:$B,Settings!$B$1))</f>
        <v/>
      </c>
      <c r="F1367" s="14" t="str">
        <f aca="false">IF(A1367="","",IF(C1367="","",D1367*B1367*C1367))</f>
        <v/>
      </c>
      <c r="G1367" s="14" t="str">
        <f aca="false">IF(F1367="","",F1367-E1367)</f>
        <v/>
      </c>
      <c r="H1367" s="14" t="str">
        <f aca="false">IF(F1367="","",IFERROR(F1367-F1366-(E1367-E1366),0))</f>
        <v/>
      </c>
    </row>
    <row r="1368" customFormat="false" ht="15" hidden="false" customHeight="false" outlineLevel="0" collapsed="false">
      <c r="A1368" s="13" t="str">
        <f aca="false">IF(Prices!A1368="","",Prices!A1368)</f>
        <v/>
      </c>
      <c r="B1368" s="14" t="str">
        <f aca="false">IF(A1368="","",Prices!C1368)</f>
        <v/>
      </c>
      <c r="C1368" s="15" t="str">
        <f aca="false">IF(A1368="","",IFERROR(INDEX(FX!$B:$B,MATCH(A1368,FX!$A:$A,1)),""))</f>
        <v/>
      </c>
      <c r="D1368" s="14" t="str">
        <f aca="false">IF(A1368="","",SUMIFS(Transactions!$D:$D,Transactions!$A:$A,"&lt;="&amp;A1368,Transactions!$B:$B,Settings!$B$1))</f>
        <v/>
      </c>
      <c r="E1368" s="14" t="str">
        <f aca="false">IF(A1368="","",SUMIFS(Transactions!$C:$C,Transactions!$A:$A,"&lt;="&amp;A1368,Transactions!$B:$B,Settings!$B$1)+SUMIFS(Transactions!$F:$F,Transactions!$A:$A,"&lt;="&amp;A1368,Transactions!$B:$B,Settings!$B$1))</f>
        <v/>
      </c>
      <c r="F1368" s="14" t="str">
        <f aca="false">IF(A1368="","",IF(C1368="","",D1368*B1368*C1368))</f>
        <v/>
      </c>
      <c r="G1368" s="14" t="str">
        <f aca="false">IF(F1368="","",F1368-E1368)</f>
        <v/>
      </c>
      <c r="H1368" s="14" t="str">
        <f aca="false">IF(F1368="","",IFERROR(F1368-F1367-(E1368-E1367),0))</f>
        <v/>
      </c>
    </row>
    <row r="1369" customFormat="false" ht="15" hidden="false" customHeight="false" outlineLevel="0" collapsed="false">
      <c r="A1369" s="13" t="str">
        <f aca="false">IF(Prices!A1369="","",Prices!A1369)</f>
        <v/>
      </c>
      <c r="B1369" s="14" t="str">
        <f aca="false">IF(A1369="","",Prices!C1369)</f>
        <v/>
      </c>
      <c r="C1369" s="15" t="str">
        <f aca="false">IF(A1369="","",IFERROR(INDEX(FX!$B:$B,MATCH(A1369,FX!$A:$A,1)),""))</f>
        <v/>
      </c>
      <c r="D1369" s="14" t="str">
        <f aca="false">IF(A1369="","",SUMIFS(Transactions!$D:$D,Transactions!$A:$A,"&lt;="&amp;A1369,Transactions!$B:$B,Settings!$B$1))</f>
        <v/>
      </c>
      <c r="E1369" s="14" t="str">
        <f aca="false">IF(A1369="","",SUMIFS(Transactions!$C:$C,Transactions!$A:$A,"&lt;="&amp;A1369,Transactions!$B:$B,Settings!$B$1)+SUMIFS(Transactions!$F:$F,Transactions!$A:$A,"&lt;="&amp;A1369,Transactions!$B:$B,Settings!$B$1))</f>
        <v/>
      </c>
      <c r="F1369" s="14" t="str">
        <f aca="false">IF(A1369="","",IF(C1369="","",D1369*B1369*C1369))</f>
        <v/>
      </c>
      <c r="G1369" s="14" t="str">
        <f aca="false">IF(F1369="","",F1369-E1369)</f>
        <v/>
      </c>
      <c r="H1369" s="14" t="str">
        <f aca="false">IF(F1369="","",IFERROR(F1369-F1368-(E1369-E1368),0))</f>
        <v/>
      </c>
    </row>
    <row r="1370" customFormat="false" ht="15" hidden="false" customHeight="false" outlineLevel="0" collapsed="false">
      <c r="A1370" s="13" t="str">
        <f aca="false">IF(Prices!A1370="","",Prices!A1370)</f>
        <v/>
      </c>
      <c r="B1370" s="14" t="str">
        <f aca="false">IF(A1370="","",Prices!C1370)</f>
        <v/>
      </c>
      <c r="C1370" s="15" t="str">
        <f aca="false">IF(A1370="","",IFERROR(INDEX(FX!$B:$B,MATCH(A1370,FX!$A:$A,1)),""))</f>
        <v/>
      </c>
      <c r="D1370" s="14" t="str">
        <f aca="false">IF(A1370="","",SUMIFS(Transactions!$D:$D,Transactions!$A:$A,"&lt;="&amp;A1370,Transactions!$B:$B,Settings!$B$1))</f>
        <v/>
      </c>
      <c r="E1370" s="14" t="str">
        <f aca="false">IF(A1370="","",SUMIFS(Transactions!$C:$C,Transactions!$A:$A,"&lt;="&amp;A1370,Transactions!$B:$B,Settings!$B$1)+SUMIFS(Transactions!$F:$F,Transactions!$A:$A,"&lt;="&amp;A1370,Transactions!$B:$B,Settings!$B$1))</f>
        <v/>
      </c>
      <c r="F1370" s="14" t="str">
        <f aca="false">IF(A1370="","",IF(C1370="","",D1370*B1370*C1370))</f>
        <v/>
      </c>
      <c r="G1370" s="14" t="str">
        <f aca="false">IF(F1370="","",F1370-E1370)</f>
        <v/>
      </c>
      <c r="H1370" s="14" t="str">
        <f aca="false">IF(F1370="","",IFERROR(F1370-F1369-(E1370-E1369),0))</f>
        <v/>
      </c>
    </row>
    <row r="1371" customFormat="false" ht="15" hidden="false" customHeight="false" outlineLevel="0" collapsed="false">
      <c r="A1371" s="13" t="str">
        <f aca="false">IF(Prices!A1371="","",Prices!A1371)</f>
        <v/>
      </c>
      <c r="B1371" s="14" t="str">
        <f aca="false">IF(A1371="","",Prices!C1371)</f>
        <v/>
      </c>
      <c r="C1371" s="15" t="str">
        <f aca="false">IF(A1371="","",IFERROR(INDEX(FX!$B:$B,MATCH(A1371,FX!$A:$A,1)),""))</f>
        <v/>
      </c>
      <c r="D1371" s="14" t="str">
        <f aca="false">IF(A1371="","",SUMIFS(Transactions!$D:$D,Transactions!$A:$A,"&lt;="&amp;A1371,Transactions!$B:$B,Settings!$B$1))</f>
        <v/>
      </c>
      <c r="E1371" s="14" t="str">
        <f aca="false">IF(A1371="","",SUMIFS(Transactions!$C:$C,Transactions!$A:$A,"&lt;="&amp;A1371,Transactions!$B:$B,Settings!$B$1)+SUMIFS(Transactions!$F:$F,Transactions!$A:$A,"&lt;="&amp;A1371,Transactions!$B:$B,Settings!$B$1))</f>
        <v/>
      </c>
      <c r="F1371" s="14" t="str">
        <f aca="false">IF(A1371="","",IF(C1371="","",D1371*B1371*C1371))</f>
        <v/>
      </c>
      <c r="G1371" s="14" t="str">
        <f aca="false">IF(F1371="","",F1371-E1371)</f>
        <v/>
      </c>
      <c r="H1371" s="14" t="str">
        <f aca="false">IF(F1371="","",IFERROR(F1371-F1370-(E1371-E1370),0))</f>
        <v/>
      </c>
    </row>
    <row r="1372" customFormat="false" ht="15" hidden="false" customHeight="false" outlineLevel="0" collapsed="false">
      <c r="A1372" s="13" t="str">
        <f aca="false">IF(Prices!A1372="","",Prices!A1372)</f>
        <v/>
      </c>
      <c r="B1372" s="14" t="str">
        <f aca="false">IF(A1372="","",Prices!C1372)</f>
        <v/>
      </c>
      <c r="C1372" s="15" t="str">
        <f aca="false">IF(A1372="","",IFERROR(INDEX(FX!$B:$B,MATCH(A1372,FX!$A:$A,1)),""))</f>
        <v/>
      </c>
      <c r="D1372" s="14" t="str">
        <f aca="false">IF(A1372="","",SUMIFS(Transactions!$D:$D,Transactions!$A:$A,"&lt;="&amp;A1372,Transactions!$B:$B,Settings!$B$1))</f>
        <v/>
      </c>
      <c r="E1372" s="14" t="str">
        <f aca="false">IF(A1372="","",SUMIFS(Transactions!$C:$C,Transactions!$A:$A,"&lt;="&amp;A1372,Transactions!$B:$B,Settings!$B$1)+SUMIFS(Transactions!$F:$F,Transactions!$A:$A,"&lt;="&amp;A1372,Transactions!$B:$B,Settings!$B$1))</f>
        <v/>
      </c>
      <c r="F1372" s="14" t="str">
        <f aca="false">IF(A1372="","",IF(C1372="","",D1372*B1372*C1372))</f>
        <v/>
      </c>
      <c r="G1372" s="14" t="str">
        <f aca="false">IF(F1372="","",F1372-E1372)</f>
        <v/>
      </c>
      <c r="H1372" s="14" t="str">
        <f aca="false">IF(F1372="","",IFERROR(F1372-F1371-(E1372-E1371),0))</f>
        <v/>
      </c>
    </row>
    <row r="1373" customFormat="false" ht="15" hidden="false" customHeight="false" outlineLevel="0" collapsed="false">
      <c r="A1373" s="13" t="str">
        <f aca="false">IF(Prices!A1373="","",Prices!A1373)</f>
        <v/>
      </c>
      <c r="B1373" s="14" t="str">
        <f aca="false">IF(A1373="","",Prices!C1373)</f>
        <v/>
      </c>
      <c r="C1373" s="15" t="str">
        <f aca="false">IF(A1373="","",IFERROR(INDEX(FX!$B:$B,MATCH(A1373,FX!$A:$A,1)),""))</f>
        <v/>
      </c>
      <c r="D1373" s="14" t="str">
        <f aca="false">IF(A1373="","",SUMIFS(Transactions!$D:$D,Transactions!$A:$A,"&lt;="&amp;A1373,Transactions!$B:$B,Settings!$B$1))</f>
        <v/>
      </c>
      <c r="E1373" s="14" t="str">
        <f aca="false">IF(A1373="","",SUMIFS(Transactions!$C:$C,Transactions!$A:$A,"&lt;="&amp;A1373,Transactions!$B:$B,Settings!$B$1)+SUMIFS(Transactions!$F:$F,Transactions!$A:$A,"&lt;="&amp;A1373,Transactions!$B:$B,Settings!$B$1))</f>
        <v/>
      </c>
      <c r="F1373" s="14" t="str">
        <f aca="false">IF(A1373="","",IF(C1373="","",D1373*B1373*C1373))</f>
        <v/>
      </c>
      <c r="G1373" s="14" t="str">
        <f aca="false">IF(F1373="","",F1373-E1373)</f>
        <v/>
      </c>
      <c r="H1373" s="14" t="str">
        <f aca="false">IF(F1373="","",IFERROR(F1373-F1372-(E1373-E1372),0))</f>
        <v/>
      </c>
    </row>
    <row r="1374" customFormat="false" ht="15" hidden="false" customHeight="false" outlineLevel="0" collapsed="false">
      <c r="A1374" s="13" t="str">
        <f aca="false">IF(Prices!A1374="","",Prices!A1374)</f>
        <v/>
      </c>
      <c r="B1374" s="14" t="str">
        <f aca="false">IF(A1374="","",Prices!C1374)</f>
        <v/>
      </c>
      <c r="C1374" s="15" t="str">
        <f aca="false">IF(A1374="","",IFERROR(INDEX(FX!$B:$B,MATCH(A1374,FX!$A:$A,1)),""))</f>
        <v/>
      </c>
      <c r="D1374" s="14" t="str">
        <f aca="false">IF(A1374="","",SUMIFS(Transactions!$D:$D,Transactions!$A:$A,"&lt;="&amp;A1374,Transactions!$B:$B,Settings!$B$1))</f>
        <v/>
      </c>
      <c r="E1374" s="14" t="str">
        <f aca="false">IF(A1374="","",SUMIFS(Transactions!$C:$C,Transactions!$A:$A,"&lt;="&amp;A1374,Transactions!$B:$B,Settings!$B$1)+SUMIFS(Transactions!$F:$F,Transactions!$A:$A,"&lt;="&amp;A1374,Transactions!$B:$B,Settings!$B$1))</f>
        <v/>
      </c>
      <c r="F1374" s="14" t="str">
        <f aca="false">IF(A1374="","",IF(C1374="","",D1374*B1374*C1374))</f>
        <v/>
      </c>
      <c r="G1374" s="14" t="str">
        <f aca="false">IF(F1374="","",F1374-E1374)</f>
        <v/>
      </c>
      <c r="H1374" s="14" t="str">
        <f aca="false">IF(F1374="","",IFERROR(F1374-F1373-(E1374-E1373),0))</f>
        <v/>
      </c>
    </row>
    <row r="1375" customFormat="false" ht="15" hidden="false" customHeight="false" outlineLevel="0" collapsed="false">
      <c r="A1375" s="13" t="str">
        <f aca="false">IF(Prices!A1375="","",Prices!A1375)</f>
        <v/>
      </c>
      <c r="B1375" s="14" t="str">
        <f aca="false">IF(A1375="","",Prices!C1375)</f>
        <v/>
      </c>
      <c r="C1375" s="15" t="str">
        <f aca="false">IF(A1375="","",IFERROR(INDEX(FX!$B:$B,MATCH(A1375,FX!$A:$A,1)),""))</f>
        <v/>
      </c>
      <c r="D1375" s="14" t="str">
        <f aca="false">IF(A1375="","",SUMIFS(Transactions!$D:$D,Transactions!$A:$A,"&lt;="&amp;A1375,Transactions!$B:$B,Settings!$B$1))</f>
        <v/>
      </c>
      <c r="E1375" s="14" t="str">
        <f aca="false">IF(A1375="","",SUMIFS(Transactions!$C:$C,Transactions!$A:$A,"&lt;="&amp;A1375,Transactions!$B:$B,Settings!$B$1)+SUMIFS(Transactions!$F:$F,Transactions!$A:$A,"&lt;="&amp;A1375,Transactions!$B:$B,Settings!$B$1))</f>
        <v/>
      </c>
      <c r="F1375" s="14" t="str">
        <f aca="false">IF(A1375="","",IF(C1375="","",D1375*B1375*C1375))</f>
        <v/>
      </c>
      <c r="G1375" s="14" t="str">
        <f aca="false">IF(F1375="","",F1375-E1375)</f>
        <v/>
      </c>
      <c r="H1375" s="14" t="str">
        <f aca="false">IF(F1375="","",IFERROR(F1375-F1374-(E1375-E1374),0))</f>
        <v/>
      </c>
    </row>
    <row r="1376" customFormat="false" ht="15" hidden="false" customHeight="false" outlineLevel="0" collapsed="false">
      <c r="A1376" s="13" t="str">
        <f aca="false">IF(Prices!A1376="","",Prices!A1376)</f>
        <v/>
      </c>
      <c r="B1376" s="14" t="str">
        <f aca="false">IF(A1376="","",Prices!C1376)</f>
        <v/>
      </c>
      <c r="C1376" s="15" t="str">
        <f aca="false">IF(A1376="","",IFERROR(INDEX(FX!$B:$B,MATCH(A1376,FX!$A:$A,1)),""))</f>
        <v/>
      </c>
      <c r="D1376" s="14" t="str">
        <f aca="false">IF(A1376="","",SUMIFS(Transactions!$D:$D,Transactions!$A:$A,"&lt;="&amp;A1376,Transactions!$B:$B,Settings!$B$1))</f>
        <v/>
      </c>
      <c r="E1376" s="14" t="str">
        <f aca="false">IF(A1376="","",SUMIFS(Transactions!$C:$C,Transactions!$A:$A,"&lt;="&amp;A1376,Transactions!$B:$B,Settings!$B$1)+SUMIFS(Transactions!$F:$F,Transactions!$A:$A,"&lt;="&amp;A1376,Transactions!$B:$B,Settings!$B$1))</f>
        <v/>
      </c>
      <c r="F1376" s="14" t="str">
        <f aca="false">IF(A1376="","",IF(C1376="","",D1376*B1376*C1376))</f>
        <v/>
      </c>
      <c r="G1376" s="14" t="str">
        <f aca="false">IF(F1376="","",F1376-E1376)</f>
        <v/>
      </c>
      <c r="H1376" s="14" t="str">
        <f aca="false">IF(F1376="","",IFERROR(F1376-F1375-(E1376-E1375),0))</f>
        <v/>
      </c>
    </row>
    <row r="1377" customFormat="false" ht="15" hidden="false" customHeight="false" outlineLevel="0" collapsed="false">
      <c r="A1377" s="13" t="str">
        <f aca="false">IF(Prices!A1377="","",Prices!A1377)</f>
        <v/>
      </c>
      <c r="B1377" s="14" t="str">
        <f aca="false">IF(A1377="","",Prices!C1377)</f>
        <v/>
      </c>
      <c r="C1377" s="15" t="str">
        <f aca="false">IF(A1377="","",IFERROR(INDEX(FX!$B:$B,MATCH(A1377,FX!$A:$A,1)),""))</f>
        <v/>
      </c>
      <c r="D1377" s="14" t="str">
        <f aca="false">IF(A1377="","",SUMIFS(Transactions!$D:$D,Transactions!$A:$A,"&lt;="&amp;A1377,Transactions!$B:$B,Settings!$B$1))</f>
        <v/>
      </c>
      <c r="E1377" s="14" t="str">
        <f aca="false">IF(A1377="","",SUMIFS(Transactions!$C:$C,Transactions!$A:$A,"&lt;="&amp;A1377,Transactions!$B:$B,Settings!$B$1)+SUMIFS(Transactions!$F:$F,Transactions!$A:$A,"&lt;="&amp;A1377,Transactions!$B:$B,Settings!$B$1))</f>
        <v/>
      </c>
      <c r="F1377" s="14" t="str">
        <f aca="false">IF(A1377="","",IF(C1377="","",D1377*B1377*C1377))</f>
        <v/>
      </c>
      <c r="G1377" s="14" t="str">
        <f aca="false">IF(F1377="","",F1377-E1377)</f>
        <v/>
      </c>
      <c r="H1377" s="14" t="str">
        <f aca="false">IF(F1377="","",IFERROR(F1377-F1376-(E1377-E1376),0))</f>
        <v/>
      </c>
    </row>
    <row r="1378" customFormat="false" ht="15" hidden="false" customHeight="false" outlineLevel="0" collapsed="false">
      <c r="A1378" s="13" t="str">
        <f aca="false">IF(Prices!A1378="","",Prices!A1378)</f>
        <v/>
      </c>
      <c r="B1378" s="14" t="str">
        <f aca="false">IF(A1378="","",Prices!C1378)</f>
        <v/>
      </c>
      <c r="C1378" s="15" t="str">
        <f aca="false">IF(A1378="","",IFERROR(INDEX(FX!$B:$B,MATCH(A1378,FX!$A:$A,1)),""))</f>
        <v/>
      </c>
      <c r="D1378" s="14" t="str">
        <f aca="false">IF(A1378="","",SUMIFS(Transactions!$D:$D,Transactions!$A:$A,"&lt;="&amp;A1378,Transactions!$B:$B,Settings!$B$1))</f>
        <v/>
      </c>
      <c r="E1378" s="14" t="str">
        <f aca="false">IF(A1378="","",SUMIFS(Transactions!$C:$C,Transactions!$A:$A,"&lt;="&amp;A1378,Transactions!$B:$B,Settings!$B$1)+SUMIFS(Transactions!$F:$F,Transactions!$A:$A,"&lt;="&amp;A1378,Transactions!$B:$B,Settings!$B$1))</f>
        <v/>
      </c>
      <c r="F1378" s="14" t="str">
        <f aca="false">IF(A1378="","",IF(C1378="","",D1378*B1378*C1378))</f>
        <v/>
      </c>
      <c r="G1378" s="14" t="str">
        <f aca="false">IF(F1378="","",F1378-E1378)</f>
        <v/>
      </c>
      <c r="H1378" s="14" t="str">
        <f aca="false">IF(F1378="","",IFERROR(F1378-F1377-(E1378-E1377),0))</f>
        <v/>
      </c>
    </row>
    <row r="1379" customFormat="false" ht="15" hidden="false" customHeight="false" outlineLevel="0" collapsed="false">
      <c r="A1379" s="13" t="str">
        <f aca="false">IF(Prices!A1379="","",Prices!A1379)</f>
        <v/>
      </c>
      <c r="B1379" s="14" t="str">
        <f aca="false">IF(A1379="","",Prices!C1379)</f>
        <v/>
      </c>
      <c r="C1379" s="15" t="str">
        <f aca="false">IF(A1379="","",IFERROR(INDEX(FX!$B:$B,MATCH(A1379,FX!$A:$A,1)),""))</f>
        <v/>
      </c>
      <c r="D1379" s="14" t="str">
        <f aca="false">IF(A1379="","",SUMIFS(Transactions!$D:$D,Transactions!$A:$A,"&lt;="&amp;A1379,Transactions!$B:$B,Settings!$B$1))</f>
        <v/>
      </c>
      <c r="E1379" s="14" t="str">
        <f aca="false">IF(A1379="","",SUMIFS(Transactions!$C:$C,Transactions!$A:$A,"&lt;="&amp;A1379,Transactions!$B:$B,Settings!$B$1)+SUMIFS(Transactions!$F:$F,Transactions!$A:$A,"&lt;="&amp;A1379,Transactions!$B:$B,Settings!$B$1))</f>
        <v/>
      </c>
      <c r="F1379" s="14" t="str">
        <f aca="false">IF(A1379="","",IF(C1379="","",D1379*B1379*C1379))</f>
        <v/>
      </c>
      <c r="G1379" s="14" t="str">
        <f aca="false">IF(F1379="","",F1379-E1379)</f>
        <v/>
      </c>
      <c r="H1379" s="14" t="str">
        <f aca="false">IF(F1379="","",IFERROR(F1379-F1378-(E1379-E1378),0))</f>
        <v/>
      </c>
    </row>
    <row r="1380" customFormat="false" ht="15" hidden="false" customHeight="false" outlineLevel="0" collapsed="false">
      <c r="A1380" s="13" t="str">
        <f aca="false">IF(Prices!A1380="","",Prices!A1380)</f>
        <v/>
      </c>
      <c r="B1380" s="14" t="str">
        <f aca="false">IF(A1380="","",Prices!C1380)</f>
        <v/>
      </c>
      <c r="C1380" s="15" t="str">
        <f aca="false">IF(A1380="","",IFERROR(INDEX(FX!$B:$B,MATCH(A1380,FX!$A:$A,1)),""))</f>
        <v/>
      </c>
      <c r="D1380" s="14" t="str">
        <f aca="false">IF(A1380="","",SUMIFS(Transactions!$D:$D,Transactions!$A:$A,"&lt;="&amp;A1380,Transactions!$B:$B,Settings!$B$1))</f>
        <v/>
      </c>
      <c r="E1380" s="14" t="str">
        <f aca="false">IF(A1380="","",SUMIFS(Transactions!$C:$C,Transactions!$A:$A,"&lt;="&amp;A1380,Transactions!$B:$B,Settings!$B$1)+SUMIFS(Transactions!$F:$F,Transactions!$A:$A,"&lt;="&amp;A1380,Transactions!$B:$B,Settings!$B$1))</f>
        <v/>
      </c>
      <c r="F1380" s="14" t="str">
        <f aca="false">IF(A1380="","",IF(C1380="","",D1380*B1380*C1380))</f>
        <v/>
      </c>
      <c r="G1380" s="14" t="str">
        <f aca="false">IF(F1380="","",F1380-E1380)</f>
        <v/>
      </c>
      <c r="H1380" s="14" t="str">
        <f aca="false">IF(F1380="","",IFERROR(F1380-F1379-(E1380-E1379),0))</f>
        <v/>
      </c>
    </row>
    <row r="1381" customFormat="false" ht="15" hidden="false" customHeight="false" outlineLevel="0" collapsed="false">
      <c r="A1381" s="13" t="str">
        <f aca="false">IF(Prices!A1381="","",Prices!A1381)</f>
        <v/>
      </c>
      <c r="B1381" s="14" t="str">
        <f aca="false">IF(A1381="","",Prices!C1381)</f>
        <v/>
      </c>
      <c r="C1381" s="15" t="str">
        <f aca="false">IF(A1381="","",IFERROR(INDEX(FX!$B:$B,MATCH(A1381,FX!$A:$A,1)),""))</f>
        <v/>
      </c>
      <c r="D1381" s="14" t="str">
        <f aca="false">IF(A1381="","",SUMIFS(Transactions!$D:$D,Transactions!$A:$A,"&lt;="&amp;A1381,Transactions!$B:$B,Settings!$B$1))</f>
        <v/>
      </c>
      <c r="E1381" s="14" t="str">
        <f aca="false">IF(A1381="","",SUMIFS(Transactions!$C:$C,Transactions!$A:$A,"&lt;="&amp;A1381,Transactions!$B:$B,Settings!$B$1)+SUMIFS(Transactions!$F:$F,Transactions!$A:$A,"&lt;="&amp;A1381,Transactions!$B:$B,Settings!$B$1))</f>
        <v/>
      </c>
      <c r="F1381" s="14" t="str">
        <f aca="false">IF(A1381="","",IF(C1381="","",D1381*B1381*C1381))</f>
        <v/>
      </c>
      <c r="G1381" s="14" t="str">
        <f aca="false">IF(F1381="","",F1381-E1381)</f>
        <v/>
      </c>
      <c r="H1381" s="14" t="str">
        <f aca="false">IF(F1381="","",IFERROR(F1381-F1380-(E1381-E1380),0))</f>
        <v/>
      </c>
    </row>
    <row r="1382" customFormat="false" ht="15" hidden="false" customHeight="false" outlineLevel="0" collapsed="false">
      <c r="A1382" s="13" t="str">
        <f aca="false">IF(Prices!A1382="","",Prices!A1382)</f>
        <v/>
      </c>
      <c r="B1382" s="14" t="str">
        <f aca="false">IF(A1382="","",Prices!C1382)</f>
        <v/>
      </c>
      <c r="C1382" s="15" t="str">
        <f aca="false">IF(A1382="","",IFERROR(INDEX(FX!$B:$B,MATCH(A1382,FX!$A:$A,1)),""))</f>
        <v/>
      </c>
      <c r="D1382" s="14" t="str">
        <f aca="false">IF(A1382="","",SUMIFS(Transactions!$D:$D,Transactions!$A:$A,"&lt;="&amp;A1382,Transactions!$B:$B,Settings!$B$1))</f>
        <v/>
      </c>
      <c r="E1382" s="14" t="str">
        <f aca="false">IF(A1382="","",SUMIFS(Transactions!$C:$C,Transactions!$A:$A,"&lt;="&amp;A1382,Transactions!$B:$B,Settings!$B$1)+SUMIFS(Transactions!$F:$F,Transactions!$A:$A,"&lt;="&amp;A1382,Transactions!$B:$B,Settings!$B$1))</f>
        <v/>
      </c>
      <c r="F1382" s="14" t="str">
        <f aca="false">IF(A1382="","",IF(C1382="","",D1382*B1382*C1382))</f>
        <v/>
      </c>
      <c r="G1382" s="14" t="str">
        <f aca="false">IF(F1382="","",F1382-E1382)</f>
        <v/>
      </c>
      <c r="H1382" s="14" t="str">
        <f aca="false">IF(F1382="","",IFERROR(F1382-F1381-(E1382-E1381),0))</f>
        <v/>
      </c>
    </row>
    <row r="1383" customFormat="false" ht="15" hidden="false" customHeight="false" outlineLevel="0" collapsed="false">
      <c r="A1383" s="13" t="str">
        <f aca="false">IF(Prices!A1383="","",Prices!A1383)</f>
        <v/>
      </c>
      <c r="B1383" s="14" t="str">
        <f aca="false">IF(A1383="","",Prices!C1383)</f>
        <v/>
      </c>
      <c r="C1383" s="15" t="str">
        <f aca="false">IF(A1383="","",IFERROR(INDEX(FX!$B:$B,MATCH(A1383,FX!$A:$A,1)),""))</f>
        <v/>
      </c>
      <c r="D1383" s="14" t="str">
        <f aca="false">IF(A1383="","",SUMIFS(Transactions!$D:$D,Transactions!$A:$A,"&lt;="&amp;A1383,Transactions!$B:$B,Settings!$B$1))</f>
        <v/>
      </c>
      <c r="E1383" s="14" t="str">
        <f aca="false">IF(A1383="","",SUMIFS(Transactions!$C:$C,Transactions!$A:$A,"&lt;="&amp;A1383,Transactions!$B:$B,Settings!$B$1)+SUMIFS(Transactions!$F:$F,Transactions!$A:$A,"&lt;="&amp;A1383,Transactions!$B:$B,Settings!$B$1))</f>
        <v/>
      </c>
      <c r="F1383" s="14" t="str">
        <f aca="false">IF(A1383="","",IF(C1383="","",D1383*B1383*C1383))</f>
        <v/>
      </c>
      <c r="G1383" s="14" t="str">
        <f aca="false">IF(F1383="","",F1383-E1383)</f>
        <v/>
      </c>
      <c r="H1383" s="14" t="str">
        <f aca="false">IF(F1383="","",IFERROR(F1383-F1382-(E1383-E1382),0))</f>
        <v/>
      </c>
    </row>
    <row r="1384" customFormat="false" ht="15" hidden="false" customHeight="false" outlineLevel="0" collapsed="false">
      <c r="A1384" s="13" t="str">
        <f aca="false">IF(Prices!A1384="","",Prices!A1384)</f>
        <v/>
      </c>
      <c r="B1384" s="14" t="str">
        <f aca="false">IF(A1384="","",Prices!C1384)</f>
        <v/>
      </c>
      <c r="C1384" s="15" t="str">
        <f aca="false">IF(A1384="","",IFERROR(INDEX(FX!$B:$B,MATCH(A1384,FX!$A:$A,1)),""))</f>
        <v/>
      </c>
      <c r="D1384" s="14" t="str">
        <f aca="false">IF(A1384="","",SUMIFS(Transactions!$D:$D,Transactions!$A:$A,"&lt;="&amp;A1384,Transactions!$B:$B,Settings!$B$1))</f>
        <v/>
      </c>
      <c r="E1384" s="14" t="str">
        <f aca="false">IF(A1384="","",SUMIFS(Transactions!$C:$C,Transactions!$A:$A,"&lt;="&amp;A1384,Transactions!$B:$B,Settings!$B$1)+SUMIFS(Transactions!$F:$F,Transactions!$A:$A,"&lt;="&amp;A1384,Transactions!$B:$B,Settings!$B$1))</f>
        <v/>
      </c>
      <c r="F1384" s="14" t="str">
        <f aca="false">IF(A1384="","",IF(C1384="","",D1384*B1384*C1384))</f>
        <v/>
      </c>
      <c r="G1384" s="14" t="str">
        <f aca="false">IF(F1384="","",F1384-E1384)</f>
        <v/>
      </c>
      <c r="H1384" s="14" t="str">
        <f aca="false">IF(F1384="","",IFERROR(F1384-F1383-(E1384-E1383),0))</f>
        <v/>
      </c>
    </row>
    <row r="1385" customFormat="false" ht="15" hidden="false" customHeight="false" outlineLevel="0" collapsed="false">
      <c r="A1385" s="13" t="str">
        <f aca="false">IF(Prices!A1385="","",Prices!A1385)</f>
        <v/>
      </c>
      <c r="B1385" s="14" t="str">
        <f aca="false">IF(A1385="","",Prices!C1385)</f>
        <v/>
      </c>
      <c r="C1385" s="15" t="str">
        <f aca="false">IF(A1385="","",IFERROR(INDEX(FX!$B:$B,MATCH(A1385,FX!$A:$A,1)),""))</f>
        <v/>
      </c>
      <c r="D1385" s="14" t="str">
        <f aca="false">IF(A1385="","",SUMIFS(Transactions!$D:$D,Transactions!$A:$A,"&lt;="&amp;A1385,Transactions!$B:$B,Settings!$B$1))</f>
        <v/>
      </c>
      <c r="E1385" s="14" t="str">
        <f aca="false">IF(A1385="","",SUMIFS(Transactions!$C:$C,Transactions!$A:$A,"&lt;="&amp;A1385,Transactions!$B:$B,Settings!$B$1)+SUMIFS(Transactions!$F:$F,Transactions!$A:$A,"&lt;="&amp;A1385,Transactions!$B:$B,Settings!$B$1))</f>
        <v/>
      </c>
      <c r="F1385" s="14" t="str">
        <f aca="false">IF(A1385="","",IF(C1385="","",D1385*B1385*C1385))</f>
        <v/>
      </c>
      <c r="G1385" s="14" t="str">
        <f aca="false">IF(F1385="","",F1385-E1385)</f>
        <v/>
      </c>
      <c r="H1385" s="14" t="str">
        <f aca="false">IF(F1385="","",IFERROR(F1385-F1384-(E1385-E1384),0))</f>
        <v/>
      </c>
    </row>
    <row r="1386" customFormat="false" ht="15" hidden="false" customHeight="false" outlineLevel="0" collapsed="false">
      <c r="A1386" s="13" t="str">
        <f aca="false">IF(Prices!A1386="","",Prices!A1386)</f>
        <v/>
      </c>
      <c r="B1386" s="14" t="str">
        <f aca="false">IF(A1386="","",Prices!C1386)</f>
        <v/>
      </c>
      <c r="C1386" s="15" t="str">
        <f aca="false">IF(A1386="","",IFERROR(INDEX(FX!$B:$B,MATCH(A1386,FX!$A:$A,1)),""))</f>
        <v/>
      </c>
      <c r="D1386" s="14" t="str">
        <f aca="false">IF(A1386="","",SUMIFS(Transactions!$D:$D,Transactions!$A:$A,"&lt;="&amp;A1386,Transactions!$B:$B,Settings!$B$1))</f>
        <v/>
      </c>
      <c r="E1386" s="14" t="str">
        <f aca="false">IF(A1386="","",SUMIFS(Transactions!$C:$C,Transactions!$A:$A,"&lt;="&amp;A1386,Transactions!$B:$B,Settings!$B$1)+SUMIFS(Transactions!$F:$F,Transactions!$A:$A,"&lt;="&amp;A1386,Transactions!$B:$B,Settings!$B$1))</f>
        <v/>
      </c>
      <c r="F1386" s="14" t="str">
        <f aca="false">IF(A1386="","",IF(C1386="","",D1386*B1386*C1386))</f>
        <v/>
      </c>
      <c r="G1386" s="14" t="str">
        <f aca="false">IF(F1386="","",F1386-E1386)</f>
        <v/>
      </c>
      <c r="H1386" s="14" t="str">
        <f aca="false">IF(F1386="","",IFERROR(F1386-F1385-(E1386-E1385),0))</f>
        <v/>
      </c>
    </row>
    <row r="1387" customFormat="false" ht="15" hidden="false" customHeight="false" outlineLevel="0" collapsed="false">
      <c r="A1387" s="13" t="str">
        <f aca="false">IF(Prices!A1387="","",Prices!A1387)</f>
        <v/>
      </c>
      <c r="B1387" s="14" t="str">
        <f aca="false">IF(A1387="","",Prices!C1387)</f>
        <v/>
      </c>
      <c r="C1387" s="15" t="str">
        <f aca="false">IF(A1387="","",IFERROR(INDEX(FX!$B:$B,MATCH(A1387,FX!$A:$A,1)),""))</f>
        <v/>
      </c>
      <c r="D1387" s="14" t="str">
        <f aca="false">IF(A1387="","",SUMIFS(Transactions!$D:$D,Transactions!$A:$A,"&lt;="&amp;A1387,Transactions!$B:$B,Settings!$B$1))</f>
        <v/>
      </c>
      <c r="E1387" s="14" t="str">
        <f aca="false">IF(A1387="","",SUMIFS(Transactions!$C:$C,Transactions!$A:$A,"&lt;="&amp;A1387,Transactions!$B:$B,Settings!$B$1)+SUMIFS(Transactions!$F:$F,Transactions!$A:$A,"&lt;="&amp;A1387,Transactions!$B:$B,Settings!$B$1))</f>
        <v/>
      </c>
      <c r="F1387" s="14" t="str">
        <f aca="false">IF(A1387="","",IF(C1387="","",D1387*B1387*C1387))</f>
        <v/>
      </c>
      <c r="G1387" s="14" t="str">
        <f aca="false">IF(F1387="","",F1387-E1387)</f>
        <v/>
      </c>
      <c r="H1387" s="14" t="str">
        <f aca="false">IF(F1387="","",IFERROR(F1387-F1386-(E1387-E1386),0))</f>
        <v/>
      </c>
    </row>
    <row r="1388" customFormat="false" ht="15" hidden="false" customHeight="false" outlineLevel="0" collapsed="false">
      <c r="A1388" s="13" t="str">
        <f aca="false">IF(Prices!A1388="","",Prices!A1388)</f>
        <v/>
      </c>
      <c r="B1388" s="14" t="str">
        <f aca="false">IF(A1388="","",Prices!C1388)</f>
        <v/>
      </c>
      <c r="C1388" s="15" t="str">
        <f aca="false">IF(A1388="","",IFERROR(INDEX(FX!$B:$B,MATCH(A1388,FX!$A:$A,1)),""))</f>
        <v/>
      </c>
      <c r="D1388" s="14" t="str">
        <f aca="false">IF(A1388="","",SUMIFS(Transactions!$D:$D,Transactions!$A:$A,"&lt;="&amp;A1388,Transactions!$B:$B,Settings!$B$1))</f>
        <v/>
      </c>
      <c r="E1388" s="14" t="str">
        <f aca="false">IF(A1388="","",SUMIFS(Transactions!$C:$C,Transactions!$A:$A,"&lt;="&amp;A1388,Transactions!$B:$B,Settings!$B$1)+SUMIFS(Transactions!$F:$F,Transactions!$A:$A,"&lt;="&amp;A1388,Transactions!$B:$B,Settings!$B$1))</f>
        <v/>
      </c>
      <c r="F1388" s="14" t="str">
        <f aca="false">IF(A1388="","",IF(C1388="","",D1388*B1388*C1388))</f>
        <v/>
      </c>
      <c r="G1388" s="14" t="str">
        <f aca="false">IF(F1388="","",F1388-E1388)</f>
        <v/>
      </c>
      <c r="H1388" s="14" t="str">
        <f aca="false">IF(F1388="","",IFERROR(F1388-F1387-(E1388-E1387),0))</f>
        <v/>
      </c>
    </row>
    <row r="1389" customFormat="false" ht="15" hidden="false" customHeight="false" outlineLevel="0" collapsed="false">
      <c r="A1389" s="13" t="str">
        <f aca="false">IF(Prices!A1389="","",Prices!A1389)</f>
        <v/>
      </c>
      <c r="B1389" s="14" t="str">
        <f aca="false">IF(A1389="","",Prices!C1389)</f>
        <v/>
      </c>
      <c r="C1389" s="15" t="str">
        <f aca="false">IF(A1389="","",IFERROR(INDEX(FX!$B:$B,MATCH(A1389,FX!$A:$A,1)),""))</f>
        <v/>
      </c>
      <c r="D1389" s="14" t="str">
        <f aca="false">IF(A1389="","",SUMIFS(Transactions!$D:$D,Transactions!$A:$A,"&lt;="&amp;A1389,Transactions!$B:$B,Settings!$B$1))</f>
        <v/>
      </c>
      <c r="E1389" s="14" t="str">
        <f aca="false">IF(A1389="","",SUMIFS(Transactions!$C:$C,Transactions!$A:$A,"&lt;="&amp;A1389,Transactions!$B:$B,Settings!$B$1)+SUMIFS(Transactions!$F:$F,Transactions!$A:$A,"&lt;="&amp;A1389,Transactions!$B:$B,Settings!$B$1))</f>
        <v/>
      </c>
      <c r="F1389" s="14" t="str">
        <f aca="false">IF(A1389="","",IF(C1389="","",D1389*B1389*C1389))</f>
        <v/>
      </c>
      <c r="G1389" s="14" t="str">
        <f aca="false">IF(F1389="","",F1389-E1389)</f>
        <v/>
      </c>
      <c r="H1389" s="14" t="str">
        <f aca="false">IF(F1389="","",IFERROR(F1389-F1388-(E1389-E1388),0))</f>
        <v/>
      </c>
    </row>
    <row r="1390" customFormat="false" ht="15" hidden="false" customHeight="false" outlineLevel="0" collapsed="false">
      <c r="A1390" s="13" t="str">
        <f aca="false">IF(Prices!A1390="","",Prices!A1390)</f>
        <v/>
      </c>
      <c r="B1390" s="14" t="str">
        <f aca="false">IF(A1390="","",Prices!C1390)</f>
        <v/>
      </c>
      <c r="C1390" s="15" t="str">
        <f aca="false">IF(A1390="","",IFERROR(INDEX(FX!$B:$B,MATCH(A1390,FX!$A:$A,1)),""))</f>
        <v/>
      </c>
      <c r="D1390" s="14" t="str">
        <f aca="false">IF(A1390="","",SUMIFS(Transactions!$D:$D,Transactions!$A:$A,"&lt;="&amp;A1390,Transactions!$B:$B,Settings!$B$1))</f>
        <v/>
      </c>
      <c r="E1390" s="14" t="str">
        <f aca="false">IF(A1390="","",SUMIFS(Transactions!$C:$C,Transactions!$A:$A,"&lt;="&amp;A1390,Transactions!$B:$B,Settings!$B$1)+SUMIFS(Transactions!$F:$F,Transactions!$A:$A,"&lt;="&amp;A1390,Transactions!$B:$B,Settings!$B$1))</f>
        <v/>
      </c>
      <c r="F1390" s="14" t="str">
        <f aca="false">IF(A1390="","",IF(C1390="","",D1390*B1390*C1390))</f>
        <v/>
      </c>
      <c r="G1390" s="14" t="str">
        <f aca="false">IF(F1390="","",F1390-E1390)</f>
        <v/>
      </c>
      <c r="H1390" s="14" t="str">
        <f aca="false">IF(F1390="","",IFERROR(F1390-F1389-(E1390-E1389),0))</f>
        <v/>
      </c>
    </row>
    <row r="1391" customFormat="false" ht="15" hidden="false" customHeight="false" outlineLevel="0" collapsed="false">
      <c r="A1391" s="13" t="str">
        <f aca="false">IF(Prices!A1391="","",Prices!A1391)</f>
        <v/>
      </c>
      <c r="B1391" s="14" t="str">
        <f aca="false">IF(A1391="","",Prices!C1391)</f>
        <v/>
      </c>
      <c r="C1391" s="15" t="str">
        <f aca="false">IF(A1391="","",IFERROR(INDEX(FX!$B:$B,MATCH(A1391,FX!$A:$A,1)),""))</f>
        <v/>
      </c>
      <c r="D1391" s="14" t="str">
        <f aca="false">IF(A1391="","",SUMIFS(Transactions!$D:$D,Transactions!$A:$A,"&lt;="&amp;A1391,Transactions!$B:$B,Settings!$B$1))</f>
        <v/>
      </c>
      <c r="E1391" s="14" t="str">
        <f aca="false">IF(A1391="","",SUMIFS(Transactions!$C:$C,Transactions!$A:$A,"&lt;="&amp;A1391,Transactions!$B:$B,Settings!$B$1)+SUMIFS(Transactions!$F:$F,Transactions!$A:$A,"&lt;="&amp;A1391,Transactions!$B:$B,Settings!$B$1))</f>
        <v/>
      </c>
      <c r="F1391" s="14" t="str">
        <f aca="false">IF(A1391="","",IF(C1391="","",D1391*B1391*C1391))</f>
        <v/>
      </c>
      <c r="G1391" s="14" t="str">
        <f aca="false">IF(F1391="","",F1391-E1391)</f>
        <v/>
      </c>
      <c r="H1391" s="14" t="str">
        <f aca="false">IF(F1391="","",IFERROR(F1391-F1390-(E1391-E1390),0))</f>
        <v/>
      </c>
    </row>
    <row r="1392" customFormat="false" ht="15" hidden="false" customHeight="false" outlineLevel="0" collapsed="false">
      <c r="A1392" s="13" t="str">
        <f aca="false">IF(Prices!A1392="","",Prices!A1392)</f>
        <v/>
      </c>
      <c r="B1392" s="14" t="str">
        <f aca="false">IF(A1392="","",Prices!C1392)</f>
        <v/>
      </c>
      <c r="C1392" s="15" t="str">
        <f aca="false">IF(A1392="","",IFERROR(INDEX(FX!$B:$B,MATCH(A1392,FX!$A:$A,1)),""))</f>
        <v/>
      </c>
      <c r="D1392" s="14" t="str">
        <f aca="false">IF(A1392="","",SUMIFS(Transactions!$D:$D,Transactions!$A:$A,"&lt;="&amp;A1392,Transactions!$B:$B,Settings!$B$1))</f>
        <v/>
      </c>
      <c r="E1392" s="14" t="str">
        <f aca="false">IF(A1392="","",SUMIFS(Transactions!$C:$C,Transactions!$A:$A,"&lt;="&amp;A1392,Transactions!$B:$B,Settings!$B$1)+SUMIFS(Transactions!$F:$F,Transactions!$A:$A,"&lt;="&amp;A1392,Transactions!$B:$B,Settings!$B$1))</f>
        <v/>
      </c>
      <c r="F1392" s="14" t="str">
        <f aca="false">IF(A1392="","",IF(C1392="","",D1392*B1392*C1392))</f>
        <v/>
      </c>
      <c r="G1392" s="14" t="str">
        <f aca="false">IF(F1392="","",F1392-E1392)</f>
        <v/>
      </c>
      <c r="H1392" s="14" t="str">
        <f aca="false">IF(F1392="","",IFERROR(F1392-F1391-(E1392-E1391),0))</f>
        <v/>
      </c>
    </row>
    <row r="1393" customFormat="false" ht="15" hidden="false" customHeight="false" outlineLevel="0" collapsed="false">
      <c r="A1393" s="13" t="str">
        <f aca="false">IF(Prices!A1393="","",Prices!A1393)</f>
        <v/>
      </c>
      <c r="B1393" s="14" t="str">
        <f aca="false">IF(A1393="","",Prices!C1393)</f>
        <v/>
      </c>
      <c r="C1393" s="15" t="str">
        <f aca="false">IF(A1393="","",IFERROR(INDEX(FX!$B:$B,MATCH(A1393,FX!$A:$A,1)),""))</f>
        <v/>
      </c>
      <c r="D1393" s="14" t="str">
        <f aca="false">IF(A1393="","",SUMIFS(Transactions!$D:$D,Transactions!$A:$A,"&lt;="&amp;A1393,Transactions!$B:$B,Settings!$B$1))</f>
        <v/>
      </c>
      <c r="E1393" s="14" t="str">
        <f aca="false">IF(A1393="","",SUMIFS(Transactions!$C:$C,Transactions!$A:$A,"&lt;="&amp;A1393,Transactions!$B:$B,Settings!$B$1)+SUMIFS(Transactions!$F:$F,Transactions!$A:$A,"&lt;="&amp;A1393,Transactions!$B:$B,Settings!$B$1))</f>
        <v/>
      </c>
      <c r="F1393" s="14" t="str">
        <f aca="false">IF(A1393="","",IF(C1393="","",D1393*B1393*C1393))</f>
        <v/>
      </c>
      <c r="G1393" s="14" t="str">
        <f aca="false">IF(F1393="","",F1393-E1393)</f>
        <v/>
      </c>
      <c r="H1393" s="14" t="str">
        <f aca="false">IF(F1393="","",IFERROR(F1393-F1392-(E1393-E1392),0))</f>
        <v/>
      </c>
    </row>
    <row r="1394" customFormat="false" ht="15" hidden="false" customHeight="false" outlineLevel="0" collapsed="false">
      <c r="A1394" s="13" t="str">
        <f aca="false">IF(Prices!A1394="","",Prices!A1394)</f>
        <v/>
      </c>
      <c r="B1394" s="14" t="str">
        <f aca="false">IF(A1394="","",Prices!C1394)</f>
        <v/>
      </c>
      <c r="C1394" s="15" t="str">
        <f aca="false">IF(A1394="","",IFERROR(INDEX(FX!$B:$B,MATCH(A1394,FX!$A:$A,1)),""))</f>
        <v/>
      </c>
      <c r="D1394" s="14" t="str">
        <f aca="false">IF(A1394="","",SUMIFS(Transactions!$D:$D,Transactions!$A:$A,"&lt;="&amp;A1394,Transactions!$B:$B,Settings!$B$1))</f>
        <v/>
      </c>
      <c r="E1394" s="14" t="str">
        <f aca="false">IF(A1394="","",SUMIFS(Transactions!$C:$C,Transactions!$A:$A,"&lt;="&amp;A1394,Transactions!$B:$B,Settings!$B$1)+SUMIFS(Transactions!$F:$F,Transactions!$A:$A,"&lt;="&amp;A1394,Transactions!$B:$B,Settings!$B$1))</f>
        <v/>
      </c>
      <c r="F1394" s="14" t="str">
        <f aca="false">IF(A1394="","",IF(C1394="","",D1394*B1394*C1394))</f>
        <v/>
      </c>
      <c r="G1394" s="14" t="str">
        <f aca="false">IF(F1394="","",F1394-E1394)</f>
        <v/>
      </c>
      <c r="H1394" s="14" t="str">
        <f aca="false">IF(F1394="","",IFERROR(F1394-F1393-(E1394-E1393),0))</f>
        <v/>
      </c>
    </row>
    <row r="1395" customFormat="false" ht="15" hidden="false" customHeight="false" outlineLevel="0" collapsed="false">
      <c r="A1395" s="13" t="str">
        <f aca="false">IF(Prices!A1395="","",Prices!A1395)</f>
        <v/>
      </c>
      <c r="B1395" s="14" t="str">
        <f aca="false">IF(A1395="","",Prices!C1395)</f>
        <v/>
      </c>
      <c r="C1395" s="15" t="str">
        <f aca="false">IF(A1395="","",IFERROR(INDEX(FX!$B:$B,MATCH(A1395,FX!$A:$A,1)),""))</f>
        <v/>
      </c>
      <c r="D1395" s="14" t="str">
        <f aca="false">IF(A1395="","",SUMIFS(Transactions!$D:$D,Transactions!$A:$A,"&lt;="&amp;A1395,Transactions!$B:$B,Settings!$B$1))</f>
        <v/>
      </c>
      <c r="E1395" s="14" t="str">
        <f aca="false">IF(A1395="","",SUMIFS(Transactions!$C:$C,Transactions!$A:$A,"&lt;="&amp;A1395,Transactions!$B:$B,Settings!$B$1)+SUMIFS(Transactions!$F:$F,Transactions!$A:$A,"&lt;="&amp;A1395,Transactions!$B:$B,Settings!$B$1))</f>
        <v/>
      </c>
      <c r="F1395" s="14" t="str">
        <f aca="false">IF(A1395="","",IF(C1395="","",D1395*B1395*C1395))</f>
        <v/>
      </c>
      <c r="G1395" s="14" t="str">
        <f aca="false">IF(F1395="","",F1395-E1395)</f>
        <v/>
      </c>
      <c r="H1395" s="14" t="str">
        <f aca="false">IF(F1395="","",IFERROR(F1395-F1394-(E1395-E1394),0))</f>
        <v/>
      </c>
    </row>
    <row r="1396" customFormat="false" ht="15" hidden="false" customHeight="false" outlineLevel="0" collapsed="false">
      <c r="A1396" s="13" t="str">
        <f aca="false">IF(Prices!A1396="","",Prices!A1396)</f>
        <v/>
      </c>
      <c r="B1396" s="14" t="str">
        <f aca="false">IF(A1396="","",Prices!C1396)</f>
        <v/>
      </c>
      <c r="C1396" s="15" t="str">
        <f aca="false">IF(A1396="","",IFERROR(INDEX(FX!$B:$B,MATCH(A1396,FX!$A:$A,1)),""))</f>
        <v/>
      </c>
      <c r="D1396" s="14" t="str">
        <f aca="false">IF(A1396="","",SUMIFS(Transactions!$D:$D,Transactions!$A:$A,"&lt;="&amp;A1396,Transactions!$B:$B,Settings!$B$1))</f>
        <v/>
      </c>
      <c r="E1396" s="14" t="str">
        <f aca="false">IF(A1396="","",SUMIFS(Transactions!$C:$C,Transactions!$A:$A,"&lt;="&amp;A1396,Transactions!$B:$B,Settings!$B$1)+SUMIFS(Transactions!$F:$F,Transactions!$A:$A,"&lt;="&amp;A1396,Transactions!$B:$B,Settings!$B$1))</f>
        <v/>
      </c>
      <c r="F1396" s="14" t="str">
        <f aca="false">IF(A1396="","",IF(C1396="","",D1396*B1396*C1396))</f>
        <v/>
      </c>
      <c r="G1396" s="14" t="str">
        <f aca="false">IF(F1396="","",F1396-E1396)</f>
        <v/>
      </c>
      <c r="H1396" s="14" t="str">
        <f aca="false">IF(F1396="","",IFERROR(F1396-F1395-(E1396-E1395),0))</f>
        <v/>
      </c>
    </row>
    <row r="1397" customFormat="false" ht="15" hidden="false" customHeight="false" outlineLevel="0" collapsed="false">
      <c r="A1397" s="13" t="str">
        <f aca="false">IF(Prices!A1397="","",Prices!A1397)</f>
        <v/>
      </c>
      <c r="B1397" s="14" t="str">
        <f aca="false">IF(A1397="","",Prices!C1397)</f>
        <v/>
      </c>
      <c r="C1397" s="15" t="str">
        <f aca="false">IF(A1397="","",IFERROR(INDEX(FX!$B:$B,MATCH(A1397,FX!$A:$A,1)),""))</f>
        <v/>
      </c>
      <c r="D1397" s="14" t="str">
        <f aca="false">IF(A1397="","",SUMIFS(Transactions!$D:$D,Transactions!$A:$A,"&lt;="&amp;A1397,Transactions!$B:$B,Settings!$B$1))</f>
        <v/>
      </c>
      <c r="E1397" s="14" t="str">
        <f aca="false">IF(A1397="","",SUMIFS(Transactions!$C:$C,Transactions!$A:$A,"&lt;="&amp;A1397,Transactions!$B:$B,Settings!$B$1)+SUMIFS(Transactions!$F:$F,Transactions!$A:$A,"&lt;="&amp;A1397,Transactions!$B:$B,Settings!$B$1))</f>
        <v/>
      </c>
      <c r="F1397" s="14" t="str">
        <f aca="false">IF(A1397="","",IF(C1397="","",D1397*B1397*C1397))</f>
        <v/>
      </c>
      <c r="G1397" s="14" t="str">
        <f aca="false">IF(F1397="","",F1397-E1397)</f>
        <v/>
      </c>
      <c r="H1397" s="14" t="str">
        <f aca="false">IF(F1397="","",IFERROR(F1397-F1396-(E1397-E1396),0))</f>
        <v/>
      </c>
    </row>
    <row r="1398" customFormat="false" ht="15" hidden="false" customHeight="false" outlineLevel="0" collapsed="false">
      <c r="A1398" s="13" t="str">
        <f aca="false">IF(Prices!A1398="","",Prices!A1398)</f>
        <v/>
      </c>
      <c r="B1398" s="14" t="str">
        <f aca="false">IF(A1398="","",Prices!C1398)</f>
        <v/>
      </c>
      <c r="C1398" s="15" t="str">
        <f aca="false">IF(A1398="","",IFERROR(INDEX(FX!$B:$B,MATCH(A1398,FX!$A:$A,1)),""))</f>
        <v/>
      </c>
      <c r="D1398" s="14" t="str">
        <f aca="false">IF(A1398="","",SUMIFS(Transactions!$D:$D,Transactions!$A:$A,"&lt;="&amp;A1398,Transactions!$B:$B,Settings!$B$1))</f>
        <v/>
      </c>
      <c r="E1398" s="14" t="str">
        <f aca="false">IF(A1398="","",SUMIFS(Transactions!$C:$C,Transactions!$A:$A,"&lt;="&amp;A1398,Transactions!$B:$B,Settings!$B$1)+SUMIFS(Transactions!$F:$F,Transactions!$A:$A,"&lt;="&amp;A1398,Transactions!$B:$B,Settings!$B$1))</f>
        <v/>
      </c>
      <c r="F1398" s="14" t="str">
        <f aca="false">IF(A1398="","",IF(C1398="","",D1398*B1398*C1398))</f>
        <v/>
      </c>
      <c r="G1398" s="14" t="str">
        <f aca="false">IF(F1398="","",F1398-E1398)</f>
        <v/>
      </c>
      <c r="H1398" s="14" t="str">
        <f aca="false">IF(F1398="","",IFERROR(F1398-F1397-(E1398-E1397),0))</f>
        <v/>
      </c>
    </row>
    <row r="1399" customFormat="false" ht="15" hidden="false" customHeight="false" outlineLevel="0" collapsed="false">
      <c r="A1399" s="13" t="str">
        <f aca="false">IF(Prices!A1399="","",Prices!A1399)</f>
        <v/>
      </c>
      <c r="B1399" s="14" t="str">
        <f aca="false">IF(A1399="","",Prices!C1399)</f>
        <v/>
      </c>
      <c r="C1399" s="15" t="str">
        <f aca="false">IF(A1399="","",IFERROR(INDEX(FX!$B:$B,MATCH(A1399,FX!$A:$A,1)),""))</f>
        <v/>
      </c>
      <c r="D1399" s="14" t="str">
        <f aca="false">IF(A1399="","",SUMIFS(Transactions!$D:$D,Transactions!$A:$A,"&lt;="&amp;A1399,Transactions!$B:$B,Settings!$B$1))</f>
        <v/>
      </c>
      <c r="E1399" s="14" t="str">
        <f aca="false">IF(A1399="","",SUMIFS(Transactions!$C:$C,Transactions!$A:$A,"&lt;="&amp;A1399,Transactions!$B:$B,Settings!$B$1)+SUMIFS(Transactions!$F:$F,Transactions!$A:$A,"&lt;="&amp;A1399,Transactions!$B:$B,Settings!$B$1))</f>
        <v/>
      </c>
      <c r="F1399" s="14" t="str">
        <f aca="false">IF(A1399="","",IF(C1399="","",D1399*B1399*C1399))</f>
        <v/>
      </c>
      <c r="G1399" s="14" t="str">
        <f aca="false">IF(F1399="","",F1399-E1399)</f>
        <v/>
      </c>
      <c r="H1399" s="14" t="str">
        <f aca="false">IF(F1399="","",IFERROR(F1399-F1398-(E1399-E1398),0))</f>
        <v/>
      </c>
    </row>
    <row r="1400" customFormat="false" ht="15" hidden="false" customHeight="false" outlineLevel="0" collapsed="false">
      <c r="A1400" s="13" t="str">
        <f aca="false">IF(Prices!A1400="","",Prices!A1400)</f>
        <v/>
      </c>
      <c r="B1400" s="14" t="str">
        <f aca="false">IF(A1400="","",Prices!C1400)</f>
        <v/>
      </c>
      <c r="C1400" s="15" t="str">
        <f aca="false">IF(A1400="","",IFERROR(INDEX(FX!$B:$B,MATCH(A1400,FX!$A:$A,1)),""))</f>
        <v/>
      </c>
      <c r="D1400" s="14" t="str">
        <f aca="false">IF(A1400="","",SUMIFS(Transactions!$D:$D,Transactions!$A:$A,"&lt;="&amp;A1400,Transactions!$B:$B,Settings!$B$1))</f>
        <v/>
      </c>
      <c r="E1400" s="14" t="str">
        <f aca="false">IF(A1400="","",SUMIFS(Transactions!$C:$C,Transactions!$A:$A,"&lt;="&amp;A1400,Transactions!$B:$B,Settings!$B$1)+SUMIFS(Transactions!$F:$F,Transactions!$A:$A,"&lt;="&amp;A1400,Transactions!$B:$B,Settings!$B$1))</f>
        <v/>
      </c>
      <c r="F1400" s="14" t="str">
        <f aca="false">IF(A1400="","",IF(C1400="","",D1400*B1400*C1400))</f>
        <v/>
      </c>
      <c r="G1400" s="14" t="str">
        <f aca="false">IF(F1400="","",F1400-E1400)</f>
        <v/>
      </c>
      <c r="H1400" s="14" t="str">
        <f aca="false">IF(F1400="","",IFERROR(F1400-F1399-(E1400-E1399),0))</f>
        <v/>
      </c>
    </row>
    <row r="1401" customFormat="false" ht="15" hidden="false" customHeight="false" outlineLevel="0" collapsed="false">
      <c r="A1401" s="13" t="str">
        <f aca="false">IF(Prices!A1401="","",Prices!A1401)</f>
        <v/>
      </c>
      <c r="B1401" s="14" t="str">
        <f aca="false">IF(A1401="","",Prices!C1401)</f>
        <v/>
      </c>
      <c r="C1401" s="15" t="str">
        <f aca="false">IF(A1401="","",IFERROR(INDEX(FX!$B:$B,MATCH(A1401,FX!$A:$A,1)),""))</f>
        <v/>
      </c>
      <c r="D1401" s="14" t="str">
        <f aca="false">IF(A1401="","",SUMIFS(Transactions!$D:$D,Transactions!$A:$A,"&lt;="&amp;A1401,Transactions!$B:$B,Settings!$B$1))</f>
        <v/>
      </c>
      <c r="E1401" s="14" t="str">
        <f aca="false">IF(A1401="","",SUMIFS(Transactions!$C:$C,Transactions!$A:$A,"&lt;="&amp;A1401,Transactions!$B:$B,Settings!$B$1)+SUMIFS(Transactions!$F:$F,Transactions!$A:$A,"&lt;="&amp;A1401,Transactions!$B:$B,Settings!$B$1))</f>
        <v/>
      </c>
      <c r="F1401" s="14" t="str">
        <f aca="false">IF(A1401="","",IF(C1401="","",D1401*B1401*C1401))</f>
        <v/>
      </c>
      <c r="G1401" s="14" t="str">
        <f aca="false">IF(F1401="","",F1401-E1401)</f>
        <v/>
      </c>
      <c r="H1401" s="14" t="str">
        <f aca="false">IF(F1401="","",IFERROR(F1401-F1400-(E1401-E1400),0))</f>
        <v/>
      </c>
    </row>
    <row r="1402" customFormat="false" ht="15" hidden="false" customHeight="false" outlineLevel="0" collapsed="false">
      <c r="A1402" s="13" t="str">
        <f aca="false">IF(Prices!A1402="","",Prices!A1402)</f>
        <v/>
      </c>
      <c r="B1402" s="14" t="str">
        <f aca="false">IF(A1402="","",Prices!C1402)</f>
        <v/>
      </c>
      <c r="C1402" s="15" t="str">
        <f aca="false">IF(A1402="","",IFERROR(INDEX(FX!$B:$B,MATCH(A1402,FX!$A:$A,1)),""))</f>
        <v/>
      </c>
      <c r="D1402" s="14" t="str">
        <f aca="false">IF(A1402="","",SUMIFS(Transactions!$D:$D,Transactions!$A:$A,"&lt;="&amp;A1402,Transactions!$B:$B,Settings!$B$1))</f>
        <v/>
      </c>
      <c r="E1402" s="14" t="str">
        <f aca="false">IF(A1402="","",SUMIFS(Transactions!$C:$C,Transactions!$A:$A,"&lt;="&amp;A1402,Transactions!$B:$B,Settings!$B$1)+SUMIFS(Transactions!$F:$F,Transactions!$A:$A,"&lt;="&amp;A1402,Transactions!$B:$B,Settings!$B$1))</f>
        <v/>
      </c>
      <c r="F1402" s="14" t="str">
        <f aca="false">IF(A1402="","",IF(C1402="","",D1402*B1402*C1402))</f>
        <v/>
      </c>
      <c r="G1402" s="14" t="str">
        <f aca="false">IF(F1402="","",F1402-E1402)</f>
        <v/>
      </c>
      <c r="H1402" s="14" t="str">
        <f aca="false">IF(F1402="","",IFERROR(F1402-F1401-(E1402-E1401),0))</f>
        <v/>
      </c>
    </row>
    <row r="1403" customFormat="false" ht="15" hidden="false" customHeight="false" outlineLevel="0" collapsed="false">
      <c r="A1403" s="13" t="str">
        <f aca="false">IF(Prices!A1403="","",Prices!A1403)</f>
        <v/>
      </c>
      <c r="B1403" s="14" t="str">
        <f aca="false">IF(A1403="","",Prices!C1403)</f>
        <v/>
      </c>
      <c r="C1403" s="15" t="str">
        <f aca="false">IF(A1403="","",IFERROR(INDEX(FX!$B:$B,MATCH(A1403,FX!$A:$A,1)),""))</f>
        <v/>
      </c>
      <c r="D1403" s="14" t="str">
        <f aca="false">IF(A1403="","",SUMIFS(Transactions!$D:$D,Transactions!$A:$A,"&lt;="&amp;A1403,Transactions!$B:$B,Settings!$B$1))</f>
        <v/>
      </c>
      <c r="E1403" s="14" t="str">
        <f aca="false">IF(A1403="","",SUMIFS(Transactions!$C:$C,Transactions!$A:$A,"&lt;="&amp;A1403,Transactions!$B:$B,Settings!$B$1)+SUMIFS(Transactions!$F:$F,Transactions!$A:$A,"&lt;="&amp;A1403,Transactions!$B:$B,Settings!$B$1))</f>
        <v/>
      </c>
      <c r="F1403" s="14" t="str">
        <f aca="false">IF(A1403="","",IF(C1403="","",D1403*B1403*C1403))</f>
        <v/>
      </c>
      <c r="G1403" s="14" t="str">
        <f aca="false">IF(F1403="","",F1403-E1403)</f>
        <v/>
      </c>
      <c r="H1403" s="14" t="str">
        <f aca="false">IF(F1403="","",IFERROR(F1403-F1402-(E1403-E1402),0))</f>
        <v/>
      </c>
    </row>
    <row r="1404" customFormat="false" ht="15" hidden="false" customHeight="false" outlineLevel="0" collapsed="false">
      <c r="A1404" s="13" t="str">
        <f aca="false">IF(Prices!A1404="","",Prices!A1404)</f>
        <v/>
      </c>
      <c r="B1404" s="14" t="str">
        <f aca="false">IF(A1404="","",Prices!C1404)</f>
        <v/>
      </c>
      <c r="C1404" s="15" t="str">
        <f aca="false">IF(A1404="","",IFERROR(INDEX(FX!$B:$B,MATCH(A1404,FX!$A:$A,1)),""))</f>
        <v/>
      </c>
      <c r="D1404" s="14" t="str">
        <f aca="false">IF(A1404="","",SUMIFS(Transactions!$D:$D,Transactions!$A:$A,"&lt;="&amp;A1404,Transactions!$B:$B,Settings!$B$1))</f>
        <v/>
      </c>
      <c r="E1404" s="14" t="str">
        <f aca="false">IF(A1404="","",SUMIFS(Transactions!$C:$C,Transactions!$A:$A,"&lt;="&amp;A1404,Transactions!$B:$B,Settings!$B$1)+SUMIFS(Transactions!$F:$F,Transactions!$A:$A,"&lt;="&amp;A1404,Transactions!$B:$B,Settings!$B$1))</f>
        <v/>
      </c>
      <c r="F1404" s="14" t="str">
        <f aca="false">IF(A1404="","",IF(C1404="","",D1404*B1404*C1404))</f>
        <v/>
      </c>
      <c r="G1404" s="14" t="str">
        <f aca="false">IF(F1404="","",F1404-E1404)</f>
        <v/>
      </c>
      <c r="H1404" s="14" t="str">
        <f aca="false">IF(F1404="","",IFERROR(F1404-F1403-(E1404-E1403),0))</f>
        <v/>
      </c>
    </row>
    <row r="1405" customFormat="false" ht="15" hidden="false" customHeight="false" outlineLevel="0" collapsed="false">
      <c r="A1405" s="13" t="str">
        <f aca="false">IF(Prices!A1405="","",Prices!A1405)</f>
        <v/>
      </c>
      <c r="B1405" s="14" t="str">
        <f aca="false">IF(A1405="","",Prices!C1405)</f>
        <v/>
      </c>
      <c r="C1405" s="15" t="str">
        <f aca="false">IF(A1405="","",IFERROR(INDEX(FX!$B:$B,MATCH(A1405,FX!$A:$A,1)),""))</f>
        <v/>
      </c>
      <c r="D1405" s="14" t="str">
        <f aca="false">IF(A1405="","",SUMIFS(Transactions!$D:$D,Transactions!$A:$A,"&lt;="&amp;A1405,Transactions!$B:$B,Settings!$B$1))</f>
        <v/>
      </c>
      <c r="E1405" s="14" t="str">
        <f aca="false">IF(A1405="","",SUMIFS(Transactions!$C:$C,Transactions!$A:$A,"&lt;="&amp;A1405,Transactions!$B:$B,Settings!$B$1)+SUMIFS(Transactions!$F:$F,Transactions!$A:$A,"&lt;="&amp;A1405,Transactions!$B:$B,Settings!$B$1))</f>
        <v/>
      </c>
      <c r="F1405" s="14" t="str">
        <f aca="false">IF(A1405="","",IF(C1405="","",D1405*B1405*C1405))</f>
        <v/>
      </c>
      <c r="G1405" s="14" t="str">
        <f aca="false">IF(F1405="","",F1405-E1405)</f>
        <v/>
      </c>
      <c r="H1405" s="14" t="str">
        <f aca="false">IF(F1405="","",IFERROR(F1405-F1404-(E1405-E1404),0))</f>
        <v/>
      </c>
    </row>
    <row r="1406" customFormat="false" ht="15" hidden="false" customHeight="false" outlineLevel="0" collapsed="false">
      <c r="A1406" s="13" t="str">
        <f aca="false">IF(Prices!A1406="","",Prices!A1406)</f>
        <v/>
      </c>
      <c r="B1406" s="14" t="str">
        <f aca="false">IF(A1406="","",Prices!C1406)</f>
        <v/>
      </c>
      <c r="C1406" s="15" t="str">
        <f aca="false">IF(A1406="","",IFERROR(INDEX(FX!$B:$B,MATCH(A1406,FX!$A:$A,1)),""))</f>
        <v/>
      </c>
      <c r="D1406" s="14" t="str">
        <f aca="false">IF(A1406="","",SUMIFS(Transactions!$D:$D,Transactions!$A:$A,"&lt;="&amp;A1406,Transactions!$B:$B,Settings!$B$1))</f>
        <v/>
      </c>
      <c r="E1406" s="14" t="str">
        <f aca="false">IF(A1406="","",SUMIFS(Transactions!$C:$C,Transactions!$A:$A,"&lt;="&amp;A1406,Transactions!$B:$B,Settings!$B$1)+SUMIFS(Transactions!$F:$F,Transactions!$A:$A,"&lt;="&amp;A1406,Transactions!$B:$B,Settings!$B$1))</f>
        <v/>
      </c>
      <c r="F1406" s="14" t="str">
        <f aca="false">IF(A1406="","",IF(C1406="","",D1406*B1406*C1406))</f>
        <v/>
      </c>
      <c r="G1406" s="14" t="str">
        <f aca="false">IF(F1406="","",F1406-E1406)</f>
        <v/>
      </c>
      <c r="H1406" s="14" t="str">
        <f aca="false">IF(F1406="","",IFERROR(F1406-F1405-(E1406-E1405),0))</f>
        <v/>
      </c>
    </row>
    <row r="1407" customFormat="false" ht="15" hidden="false" customHeight="false" outlineLevel="0" collapsed="false">
      <c r="A1407" s="13" t="str">
        <f aca="false">IF(Prices!A1407="","",Prices!A1407)</f>
        <v/>
      </c>
      <c r="B1407" s="14" t="str">
        <f aca="false">IF(A1407="","",Prices!C1407)</f>
        <v/>
      </c>
      <c r="C1407" s="15" t="str">
        <f aca="false">IF(A1407="","",IFERROR(INDEX(FX!$B:$B,MATCH(A1407,FX!$A:$A,1)),""))</f>
        <v/>
      </c>
      <c r="D1407" s="14" t="str">
        <f aca="false">IF(A1407="","",SUMIFS(Transactions!$D:$D,Transactions!$A:$A,"&lt;="&amp;A1407,Transactions!$B:$B,Settings!$B$1))</f>
        <v/>
      </c>
      <c r="E1407" s="14" t="str">
        <f aca="false">IF(A1407="","",SUMIFS(Transactions!$C:$C,Transactions!$A:$A,"&lt;="&amp;A1407,Transactions!$B:$B,Settings!$B$1)+SUMIFS(Transactions!$F:$F,Transactions!$A:$A,"&lt;="&amp;A1407,Transactions!$B:$B,Settings!$B$1))</f>
        <v/>
      </c>
      <c r="F1407" s="14" t="str">
        <f aca="false">IF(A1407="","",IF(C1407="","",D1407*B1407*C1407))</f>
        <v/>
      </c>
      <c r="G1407" s="14" t="str">
        <f aca="false">IF(F1407="","",F1407-E1407)</f>
        <v/>
      </c>
      <c r="H1407" s="14" t="str">
        <f aca="false">IF(F1407="","",IFERROR(F1407-F1406-(E1407-E1406),0))</f>
        <v/>
      </c>
    </row>
    <row r="1408" customFormat="false" ht="15" hidden="false" customHeight="false" outlineLevel="0" collapsed="false">
      <c r="A1408" s="13" t="str">
        <f aca="false">IF(Prices!A1408="","",Prices!A1408)</f>
        <v/>
      </c>
      <c r="B1408" s="14" t="str">
        <f aca="false">IF(A1408="","",Prices!C1408)</f>
        <v/>
      </c>
      <c r="C1408" s="15" t="str">
        <f aca="false">IF(A1408="","",IFERROR(INDEX(FX!$B:$B,MATCH(A1408,FX!$A:$A,1)),""))</f>
        <v/>
      </c>
      <c r="D1408" s="14" t="str">
        <f aca="false">IF(A1408="","",SUMIFS(Transactions!$D:$D,Transactions!$A:$A,"&lt;="&amp;A1408,Transactions!$B:$B,Settings!$B$1))</f>
        <v/>
      </c>
      <c r="E1408" s="14" t="str">
        <f aca="false">IF(A1408="","",SUMIFS(Transactions!$C:$C,Transactions!$A:$A,"&lt;="&amp;A1408,Transactions!$B:$B,Settings!$B$1)+SUMIFS(Transactions!$F:$F,Transactions!$A:$A,"&lt;="&amp;A1408,Transactions!$B:$B,Settings!$B$1))</f>
        <v/>
      </c>
      <c r="F1408" s="14" t="str">
        <f aca="false">IF(A1408="","",IF(C1408="","",D1408*B1408*C1408))</f>
        <v/>
      </c>
      <c r="G1408" s="14" t="str">
        <f aca="false">IF(F1408="","",F1408-E1408)</f>
        <v/>
      </c>
      <c r="H1408" s="14" t="str">
        <f aca="false">IF(F1408="","",IFERROR(F1408-F1407-(E1408-E1407),0))</f>
        <v/>
      </c>
    </row>
    <row r="1409" customFormat="false" ht="15" hidden="false" customHeight="false" outlineLevel="0" collapsed="false">
      <c r="A1409" s="13" t="str">
        <f aca="false">IF(Prices!A1409="","",Prices!A1409)</f>
        <v/>
      </c>
      <c r="B1409" s="14" t="str">
        <f aca="false">IF(A1409="","",Prices!C1409)</f>
        <v/>
      </c>
      <c r="C1409" s="15" t="str">
        <f aca="false">IF(A1409="","",IFERROR(INDEX(FX!$B:$B,MATCH(A1409,FX!$A:$A,1)),""))</f>
        <v/>
      </c>
      <c r="D1409" s="14" t="str">
        <f aca="false">IF(A1409="","",SUMIFS(Transactions!$D:$D,Transactions!$A:$A,"&lt;="&amp;A1409,Transactions!$B:$B,Settings!$B$1))</f>
        <v/>
      </c>
      <c r="E1409" s="14" t="str">
        <f aca="false">IF(A1409="","",SUMIFS(Transactions!$C:$C,Transactions!$A:$A,"&lt;="&amp;A1409,Transactions!$B:$B,Settings!$B$1)+SUMIFS(Transactions!$F:$F,Transactions!$A:$A,"&lt;="&amp;A1409,Transactions!$B:$B,Settings!$B$1))</f>
        <v/>
      </c>
      <c r="F1409" s="14" t="str">
        <f aca="false">IF(A1409="","",IF(C1409="","",D1409*B1409*C1409))</f>
        <v/>
      </c>
      <c r="G1409" s="14" t="str">
        <f aca="false">IF(F1409="","",F1409-E1409)</f>
        <v/>
      </c>
      <c r="H1409" s="14" t="str">
        <f aca="false">IF(F1409="","",IFERROR(F1409-F1408-(E1409-E1408),0))</f>
        <v/>
      </c>
    </row>
    <row r="1410" customFormat="false" ht="15" hidden="false" customHeight="false" outlineLevel="0" collapsed="false">
      <c r="A1410" s="13" t="str">
        <f aca="false">IF(Prices!A1410="","",Prices!A1410)</f>
        <v/>
      </c>
      <c r="B1410" s="14" t="str">
        <f aca="false">IF(A1410="","",Prices!C1410)</f>
        <v/>
      </c>
      <c r="C1410" s="15" t="str">
        <f aca="false">IF(A1410="","",IFERROR(INDEX(FX!$B:$B,MATCH(A1410,FX!$A:$A,1)),""))</f>
        <v/>
      </c>
      <c r="D1410" s="14" t="str">
        <f aca="false">IF(A1410="","",SUMIFS(Transactions!$D:$D,Transactions!$A:$A,"&lt;="&amp;A1410,Transactions!$B:$B,Settings!$B$1))</f>
        <v/>
      </c>
      <c r="E1410" s="14" t="str">
        <f aca="false">IF(A1410="","",SUMIFS(Transactions!$C:$C,Transactions!$A:$A,"&lt;="&amp;A1410,Transactions!$B:$B,Settings!$B$1)+SUMIFS(Transactions!$F:$F,Transactions!$A:$A,"&lt;="&amp;A1410,Transactions!$B:$B,Settings!$B$1))</f>
        <v/>
      </c>
      <c r="F1410" s="14" t="str">
        <f aca="false">IF(A1410="","",IF(C1410="","",D1410*B1410*C1410))</f>
        <v/>
      </c>
      <c r="G1410" s="14" t="str">
        <f aca="false">IF(F1410="","",F1410-E1410)</f>
        <v/>
      </c>
      <c r="H1410" s="14" t="str">
        <f aca="false">IF(F1410="","",IFERROR(F1410-F1409-(E1410-E1409),0))</f>
        <v/>
      </c>
    </row>
    <row r="1411" customFormat="false" ht="15" hidden="false" customHeight="false" outlineLevel="0" collapsed="false">
      <c r="A1411" s="13" t="str">
        <f aca="false">IF(Prices!A1411="","",Prices!A1411)</f>
        <v/>
      </c>
      <c r="B1411" s="14" t="str">
        <f aca="false">IF(A1411="","",Prices!C1411)</f>
        <v/>
      </c>
      <c r="C1411" s="15" t="str">
        <f aca="false">IF(A1411="","",IFERROR(INDEX(FX!$B:$B,MATCH(A1411,FX!$A:$A,1)),""))</f>
        <v/>
      </c>
      <c r="D1411" s="14" t="str">
        <f aca="false">IF(A1411="","",SUMIFS(Transactions!$D:$D,Transactions!$A:$A,"&lt;="&amp;A1411,Transactions!$B:$B,Settings!$B$1))</f>
        <v/>
      </c>
      <c r="E1411" s="14" t="str">
        <f aca="false">IF(A1411="","",SUMIFS(Transactions!$C:$C,Transactions!$A:$A,"&lt;="&amp;A1411,Transactions!$B:$B,Settings!$B$1)+SUMIFS(Transactions!$F:$F,Transactions!$A:$A,"&lt;="&amp;A1411,Transactions!$B:$B,Settings!$B$1))</f>
        <v/>
      </c>
      <c r="F1411" s="14" t="str">
        <f aca="false">IF(A1411="","",IF(C1411="","",D1411*B1411*C1411))</f>
        <v/>
      </c>
      <c r="G1411" s="14" t="str">
        <f aca="false">IF(F1411="","",F1411-E1411)</f>
        <v/>
      </c>
      <c r="H1411" s="14" t="str">
        <f aca="false">IF(F1411="","",IFERROR(F1411-F1410-(E1411-E1410),0))</f>
        <v/>
      </c>
    </row>
    <row r="1412" customFormat="false" ht="15" hidden="false" customHeight="false" outlineLevel="0" collapsed="false">
      <c r="A1412" s="13" t="str">
        <f aca="false">IF(Prices!A1412="","",Prices!A1412)</f>
        <v/>
      </c>
      <c r="B1412" s="14" t="str">
        <f aca="false">IF(A1412="","",Prices!C1412)</f>
        <v/>
      </c>
      <c r="C1412" s="15" t="str">
        <f aca="false">IF(A1412="","",IFERROR(INDEX(FX!$B:$B,MATCH(A1412,FX!$A:$A,1)),""))</f>
        <v/>
      </c>
      <c r="D1412" s="14" t="str">
        <f aca="false">IF(A1412="","",SUMIFS(Transactions!$D:$D,Transactions!$A:$A,"&lt;="&amp;A1412,Transactions!$B:$B,Settings!$B$1))</f>
        <v/>
      </c>
      <c r="E1412" s="14" t="str">
        <f aca="false">IF(A1412="","",SUMIFS(Transactions!$C:$C,Transactions!$A:$A,"&lt;="&amp;A1412,Transactions!$B:$B,Settings!$B$1)+SUMIFS(Transactions!$F:$F,Transactions!$A:$A,"&lt;="&amp;A1412,Transactions!$B:$B,Settings!$B$1))</f>
        <v/>
      </c>
      <c r="F1412" s="14" t="str">
        <f aca="false">IF(A1412="","",IF(C1412="","",D1412*B1412*C1412))</f>
        <v/>
      </c>
      <c r="G1412" s="14" t="str">
        <f aca="false">IF(F1412="","",F1412-E1412)</f>
        <v/>
      </c>
      <c r="H1412" s="14" t="str">
        <f aca="false">IF(F1412="","",IFERROR(F1412-F1411-(E1412-E1411),0))</f>
        <v/>
      </c>
    </row>
    <row r="1413" customFormat="false" ht="15" hidden="false" customHeight="false" outlineLevel="0" collapsed="false">
      <c r="A1413" s="13" t="str">
        <f aca="false">IF(Prices!A1413="","",Prices!A1413)</f>
        <v/>
      </c>
      <c r="B1413" s="14" t="str">
        <f aca="false">IF(A1413="","",Prices!C1413)</f>
        <v/>
      </c>
      <c r="C1413" s="15" t="str">
        <f aca="false">IF(A1413="","",IFERROR(INDEX(FX!$B:$B,MATCH(A1413,FX!$A:$A,1)),""))</f>
        <v/>
      </c>
      <c r="D1413" s="14" t="str">
        <f aca="false">IF(A1413="","",SUMIFS(Transactions!$D:$D,Transactions!$A:$A,"&lt;="&amp;A1413,Transactions!$B:$B,Settings!$B$1))</f>
        <v/>
      </c>
      <c r="E1413" s="14" t="str">
        <f aca="false">IF(A1413="","",SUMIFS(Transactions!$C:$C,Transactions!$A:$A,"&lt;="&amp;A1413,Transactions!$B:$B,Settings!$B$1)+SUMIFS(Transactions!$F:$F,Transactions!$A:$A,"&lt;="&amp;A1413,Transactions!$B:$B,Settings!$B$1))</f>
        <v/>
      </c>
      <c r="F1413" s="14" t="str">
        <f aca="false">IF(A1413="","",IF(C1413="","",D1413*B1413*C1413))</f>
        <v/>
      </c>
      <c r="G1413" s="14" t="str">
        <f aca="false">IF(F1413="","",F1413-E1413)</f>
        <v/>
      </c>
      <c r="H1413" s="14" t="str">
        <f aca="false">IF(F1413="","",IFERROR(F1413-F1412-(E1413-E1412),0))</f>
        <v/>
      </c>
    </row>
    <row r="1414" customFormat="false" ht="15" hidden="false" customHeight="false" outlineLevel="0" collapsed="false">
      <c r="A1414" s="13" t="str">
        <f aca="false">IF(Prices!A1414="","",Prices!A1414)</f>
        <v/>
      </c>
      <c r="B1414" s="14" t="str">
        <f aca="false">IF(A1414="","",Prices!C1414)</f>
        <v/>
      </c>
      <c r="C1414" s="15" t="str">
        <f aca="false">IF(A1414="","",IFERROR(INDEX(FX!$B:$B,MATCH(A1414,FX!$A:$A,1)),""))</f>
        <v/>
      </c>
      <c r="D1414" s="14" t="str">
        <f aca="false">IF(A1414="","",SUMIFS(Transactions!$D:$D,Transactions!$A:$A,"&lt;="&amp;A1414,Transactions!$B:$B,Settings!$B$1))</f>
        <v/>
      </c>
      <c r="E1414" s="14" t="str">
        <f aca="false">IF(A1414="","",SUMIFS(Transactions!$C:$C,Transactions!$A:$A,"&lt;="&amp;A1414,Transactions!$B:$B,Settings!$B$1)+SUMIFS(Transactions!$F:$F,Transactions!$A:$A,"&lt;="&amp;A1414,Transactions!$B:$B,Settings!$B$1))</f>
        <v/>
      </c>
      <c r="F1414" s="14" t="str">
        <f aca="false">IF(A1414="","",IF(C1414="","",D1414*B1414*C1414))</f>
        <v/>
      </c>
      <c r="G1414" s="14" t="str">
        <f aca="false">IF(F1414="","",F1414-E1414)</f>
        <v/>
      </c>
      <c r="H1414" s="14" t="str">
        <f aca="false">IF(F1414="","",IFERROR(F1414-F1413-(E1414-E1413),0))</f>
        <v/>
      </c>
    </row>
    <row r="1415" customFormat="false" ht="15" hidden="false" customHeight="false" outlineLevel="0" collapsed="false">
      <c r="A1415" s="13" t="str">
        <f aca="false">IF(Prices!A1415="","",Prices!A1415)</f>
        <v/>
      </c>
      <c r="B1415" s="14" t="str">
        <f aca="false">IF(A1415="","",Prices!C1415)</f>
        <v/>
      </c>
      <c r="C1415" s="15" t="str">
        <f aca="false">IF(A1415="","",IFERROR(INDEX(FX!$B:$B,MATCH(A1415,FX!$A:$A,1)),""))</f>
        <v/>
      </c>
      <c r="D1415" s="14" t="str">
        <f aca="false">IF(A1415="","",SUMIFS(Transactions!$D:$D,Transactions!$A:$A,"&lt;="&amp;A1415,Transactions!$B:$B,Settings!$B$1))</f>
        <v/>
      </c>
      <c r="E1415" s="14" t="str">
        <f aca="false">IF(A1415="","",SUMIFS(Transactions!$C:$C,Transactions!$A:$A,"&lt;="&amp;A1415,Transactions!$B:$B,Settings!$B$1)+SUMIFS(Transactions!$F:$F,Transactions!$A:$A,"&lt;="&amp;A1415,Transactions!$B:$B,Settings!$B$1))</f>
        <v/>
      </c>
      <c r="F1415" s="14" t="str">
        <f aca="false">IF(A1415="","",IF(C1415="","",D1415*B1415*C1415))</f>
        <v/>
      </c>
      <c r="G1415" s="14" t="str">
        <f aca="false">IF(F1415="","",F1415-E1415)</f>
        <v/>
      </c>
      <c r="H1415" s="14" t="str">
        <f aca="false">IF(F1415="","",IFERROR(F1415-F1414-(E1415-E1414),0))</f>
        <v/>
      </c>
    </row>
    <row r="1416" customFormat="false" ht="15" hidden="false" customHeight="false" outlineLevel="0" collapsed="false">
      <c r="A1416" s="13" t="str">
        <f aca="false">IF(Prices!A1416="","",Prices!A1416)</f>
        <v/>
      </c>
      <c r="B1416" s="14" t="str">
        <f aca="false">IF(A1416="","",Prices!C1416)</f>
        <v/>
      </c>
      <c r="C1416" s="15" t="str">
        <f aca="false">IF(A1416="","",IFERROR(INDEX(FX!$B:$B,MATCH(A1416,FX!$A:$A,1)),""))</f>
        <v/>
      </c>
      <c r="D1416" s="14" t="str">
        <f aca="false">IF(A1416="","",SUMIFS(Transactions!$D:$D,Transactions!$A:$A,"&lt;="&amp;A1416,Transactions!$B:$B,Settings!$B$1))</f>
        <v/>
      </c>
      <c r="E1416" s="14" t="str">
        <f aca="false">IF(A1416="","",SUMIFS(Transactions!$C:$C,Transactions!$A:$A,"&lt;="&amp;A1416,Transactions!$B:$B,Settings!$B$1)+SUMIFS(Transactions!$F:$F,Transactions!$A:$A,"&lt;="&amp;A1416,Transactions!$B:$B,Settings!$B$1))</f>
        <v/>
      </c>
      <c r="F1416" s="14" t="str">
        <f aca="false">IF(A1416="","",IF(C1416="","",D1416*B1416*C1416))</f>
        <v/>
      </c>
      <c r="G1416" s="14" t="str">
        <f aca="false">IF(F1416="","",F1416-E1416)</f>
        <v/>
      </c>
      <c r="H1416" s="14" t="str">
        <f aca="false">IF(F1416="","",IFERROR(F1416-F1415-(E1416-E1415),0))</f>
        <v/>
      </c>
    </row>
    <row r="1417" customFormat="false" ht="15" hidden="false" customHeight="false" outlineLevel="0" collapsed="false">
      <c r="A1417" s="13" t="str">
        <f aca="false">IF(Prices!A1417="","",Prices!A1417)</f>
        <v/>
      </c>
      <c r="B1417" s="14" t="str">
        <f aca="false">IF(A1417="","",Prices!C1417)</f>
        <v/>
      </c>
      <c r="C1417" s="15" t="str">
        <f aca="false">IF(A1417="","",IFERROR(INDEX(FX!$B:$B,MATCH(A1417,FX!$A:$A,1)),""))</f>
        <v/>
      </c>
      <c r="D1417" s="14" t="str">
        <f aca="false">IF(A1417="","",SUMIFS(Transactions!$D:$D,Transactions!$A:$A,"&lt;="&amp;A1417,Transactions!$B:$B,Settings!$B$1))</f>
        <v/>
      </c>
      <c r="E1417" s="14" t="str">
        <f aca="false">IF(A1417="","",SUMIFS(Transactions!$C:$C,Transactions!$A:$A,"&lt;="&amp;A1417,Transactions!$B:$B,Settings!$B$1)+SUMIFS(Transactions!$F:$F,Transactions!$A:$A,"&lt;="&amp;A1417,Transactions!$B:$B,Settings!$B$1))</f>
        <v/>
      </c>
      <c r="F1417" s="14" t="str">
        <f aca="false">IF(A1417="","",IF(C1417="","",D1417*B1417*C1417))</f>
        <v/>
      </c>
      <c r="G1417" s="14" t="str">
        <f aca="false">IF(F1417="","",F1417-E1417)</f>
        <v/>
      </c>
      <c r="H1417" s="14" t="str">
        <f aca="false">IF(F1417="","",IFERROR(F1417-F1416-(E1417-E1416),0))</f>
        <v/>
      </c>
    </row>
    <row r="1418" customFormat="false" ht="15" hidden="false" customHeight="false" outlineLevel="0" collapsed="false">
      <c r="A1418" s="13" t="str">
        <f aca="false">IF(Prices!A1418="","",Prices!A1418)</f>
        <v/>
      </c>
      <c r="B1418" s="14" t="str">
        <f aca="false">IF(A1418="","",Prices!C1418)</f>
        <v/>
      </c>
      <c r="C1418" s="15" t="str">
        <f aca="false">IF(A1418="","",IFERROR(INDEX(FX!$B:$B,MATCH(A1418,FX!$A:$A,1)),""))</f>
        <v/>
      </c>
      <c r="D1418" s="14" t="str">
        <f aca="false">IF(A1418="","",SUMIFS(Transactions!$D:$D,Transactions!$A:$A,"&lt;="&amp;A1418,Transactions!$B:$B,Settings!$B$1))</f>
        <v/>
      </c>
      <c r="E1418" s="14" t="str">
        <f aca="false">IF(A1418="","",SUMIFS(Transactions!$C:$C,Transactions!$A:$A,"&lt;="&amp;A1418,Transactions!$B:$B,Settings!$B$1)+SUMIFS(Transactions!$F:$F,Transactions!$A:$A,"&lt;="&amp;A1418,Transactions!$B:$B,Settings!$B$1))</f>
        <v/>
      </c>
      <c r="F1418" s="14" t="str">
        <f aca="false">IF(A1418="","",IF(C1418="","",D1418*B1418*C1418))</f>
        <v/>
      </c>
      <c r="G1418" s="14" t="str">
        <f aca="false">IF(F1418="","",F1418-E1418)</f>
        <v/>
      </c>
      <c r="H1418" s="14" t="str">
        <f aca="false">IF(F1418="","",IFERROR(F1418-F1417-(E1418-E1417),0))</f>
        <v/>
      </c>
    </row>
    <row r="1419" customFormat="false" ht="15" hidden="false" customHeight="false" outlineLevel="0" collapsed="false">
      <c r="A1419" s="13" t="str">
        <f aca="false">IF(Prices!A1419="","",Prices!A1419)</f>
        <v/>
      </c>
      <c r="B1419" s="14" t="str">
        <f aca="false">IF(A1419="","",Prices!C1419)</f>
        <v/>
      </c>
      <c r="C1419" s="15" t="str">
        <f aca="false">IF(A1419="","",IFERROR(INDEX(FX!$B:$B,MATCH(A1419,FX!$A:$A,1)),""))</f>
        <v/>
      </c>
      <c r="D1419" s="14" t="str">
        <f aca="false">IF(A1419="","",SUMIFS(Transactions!$D:$D,Transactions!$A:$A,"&lt;="&amp;A1419,Transactions!$B:$B,Settings!$B$1))</f>
        <v/>
      </c>
      <c r="E1419" s="14" t="str">
        <f aca="false">IF(A1419="","",SUMIFS(Transactions!$C:$C,Transactions!$A:$A,"&lt;="&amp;A1419,Transactions!$B:$B,Settings!$B$1)+SUMIFS(Transactions!$F:$F,Transactions!$A:$A,"&lt;="&amp;A1419,Transactions!$B:$B,Settings!$B$1))</f>
        <v/>
      </c>
      <c r="F1419" s="14" t="str">
        <f aca="false">IF(A1419="","",IF(C1419="","",D1419*B1419*C1419))</f>
        <v/>
      </c>
      <c r="G1419" s="14" t="str">
        <f aca="false">IF(F1419="","",F1419-E1419)</f>
        <v/>
      </c>
      <c r="H1419" s="14" t="str">
        <f aca="false">IF(F1419="","",IFERROR(F1419-F1418-(E1419-E1418),0))</f>
        <v/>
      </c>
    </row>
    <row r="1420" customFormat="false" ht="15" hidden="false" customHeight="false" outlineLevel="0" collapsed="false">
      <c r="A1420" s="13" t="str">
        <f aca="false">IF(Prices!A1420="","",Prices!A1420)</f>
        <v/>
      </c>
      <c r="B1420" s="14" t="str">
        <f aca="false">IF(A1420="","",Prices!C1420)</f>
        <v/>
      </c>
      <c r="C1420" s="15" t="str">
        <f aca="false">IF(A1420="","",IFERROR(INDEX(FX!$B:$B,MATCH(A1420,FX!$A:$A,1)),""))</f>
        <v/>
      </c>
      <c r="D1420" s="14" t="str">
        <f aca="false">IF(A1420="","",SUMIFS(Transactions!$D:$D,Transactions!$A:$A,"&lt;="&amp;A1420,Transactions!$B:$B,Settings!$B$1))</f>
        <v/>
      </c>
      <c r="E1420" s="14" t="str">
        <f aca="false">IF(A1420="","",SUMIFS(Transactions!$C:$C,Transactions!$A:$A,"&lt;="&amp;A1420,Transactions!$B:$B,Settings!$B$1)+SUMIFS(Transactions!$F:$F,Transactions!$A:$A,"&lt;="&amp;A1420,Transactions!$B:$B,Settings!$B$1))</f>
        <v/>
      </c>
      <c r="F1420" s="14" t="str">
        <f aca="false">IF(A1420="","",IF(C1420="","",D1420*B1420*C1420))</f>
        <v/>
      </c>
      <c r="G1420" s="14" t="str">
        <f aca="false">IF(F1420="","",F1420-E1420)</f>
        <v/>
      </c>
      <c r="H1420" s="14" t="str">
        <f aca="false">IF(F1420="","",IFERROR(F1420-F1419-(E1420-E1419),0))</f>
        <v/>
      </c>
    </row>
    <row r="1421" customFormat="false" ht="15" hidden="false" customHeight="false" outlineLevel="0" collapsed="false">
      <c r="A1421" s="13" t="str">
        <f aca="false">IF(Prices!A1421="","",Prices!A1421)</f>
        <v/>
      </c>
      <c r="B1421" s="14" t="str">
        <f aca="false">IF(A1421="","",Prices!C1421)</f>
        <v/>
      </c>
      <c r="C1421" s="15" t="str">
        <f aca="false">IF(A1421="","",IFERROR(INDEX(FX!$B:$B,MATCH(A1421,FX!$A:$A,1)),""))</f>
        <v/>
      </c>
      <c r="D1421" s="14" t="str">
        <f aca="false">IF(A1421="","",SUMIFS(Transactions!$D:$D,Transactions!$A:$A,"&lt;="&amp;A1421,Transactions!$B:$B,Settings!$B$1))</f>
        <v/>
      </c>
      <c r="E1421" s="14" t="str">
        <f aca="false">IF(A1421="","",SUMIFS(Transactions!$C:$C,Transactions!$A:$A,"&lt;="&amp;A1421,Transactions!$B:$B,Settings!$B$1)+SUMIFS(Transactions!$F:$F,Transactions!$A:$A,"&lt;="&amp;A1421,Transactions!$B:$B,Settings!$B$1))</f>
        <v/>
      </c>
      <c r="F1421" s="14" t="str">
        <f aca="false">IF(A1421="","",IF(C1421="","",D1421*B1421*C1421))</f>
        <v/>
      </c>
      <c r="G1421" s="14" t="str">
        <f aca="false">IF(F1421="","",F1421-E1421)</f>
        <v/>
      </c>
      <c r="H1421" s="14" t="str">
        <f aca="false">IF(F1421="","",IFERROR(F1421-F1420-(E1421-E1420),0))</f>
        <v/>
      </c>
    </row>
    <row r="1422" customFormat="false" ht="15" hidden="false" customHeight="false" outlineLevel="0" collapsed="false">
      <c r="A1422" s="13" t="str">
        <f aca="false">IF(Prices!A1422="","",Prices!A1422)</f>
        <v/>
      </c>
      <c r="B1422" s="14" t="str">
        <f aca="false">IF(A1422="","",Prices!C1422)</f>
        <v/>
      </c>
      <c r="C1422" s="15" t="str">
        <f aca="false">IF(A1422="","",IFERROR(INDEX(FX!$B:$B,MATCH(A1422,FX!$A:$A,1)),""))</f>
        <v/>
      </c>
      <c r="D1422" s="14" t="str">
        <f aca="false">IF(A1422="","",SUMIFS(Transactions!$D:$D,Transactions!$A:$A,"&lt;="&amp;A1422,Transactions!$B:$B,Settings!$B$1))</f>
        <v/>
      </c>
      <c r="E1422" s="14" t="str">
        <f aca="false">IF(A1422="","",SUMIFS(Transactions!$C:$C,Transactions!$A:$A,"&lt;="&amp;A1422,Transactions!$B:$B,Settings!$B$1)+SUMIFS(Transactions!$F:$F,Transactions!$A:$A,"&lt;="&amp;A1422,Transactions!$B:$B,Settings!$B$1))</f>
        <v/>
      </c>
      <c r="F1422" s="14" t="str">
        <f aca="false">IF(A1422="","",IF(C1422="","",D1422*B1422*C1422))</f>
        <v/>
      </c>
      <c r="G1422" s="14" t="str">
        <f aca="false">IF(F1422="","",F1422-E1422)</f>
        <v/>
      </c>
      <c r="H1422" s="14" t="str">
        <f aca="false">IF(F1422="","",IFERROR(F1422-F1421-(E1422-E1421),0))</f>
        <v/>
      </c>
    </row>
    <row r="1423" customFormat="false" ht="15" hidden="false" customHeight="false" outlineLevel="0" collapsed="false">
      <c r="A1423" s="13" t="str">
        <f aca="false">IF(Prices!A1423="","",Prices!A1423)</f>
        <v/>
      </c>
      <c r="B1423" s="14" t="str">
        <f aca="false">IF(A1423="","",Prices!C1423)</f>
        <v/>
      </c>
      <c r="C1423" s="15" t="str">
        <f aca="false">IF(A1423="","",IFERROR(INDEX(FX!$B:$B,MATCH(A1423,FX!$A:$A,1)),""))</f>
        <v/>
      </c>
      <c r="D1423" s="14" t="str">
        <f aca="false">IF(A1423="","",SUMIFS(Transactions!$D:$D,Transactions!$A:$A,"&lt;="&amp;A1423,Transactions!$B:$B,Settings!$B$1))</f>
        <v/>
      </c>
      <c r="E1423" s="14" t="str">
        <f aca="false">IF(A1423="","",SUMIFS(Transactions!$C:$C,Transactions!$A:$A,"&lt;="&amp;A1423,Transactions!$B:$B,Settings!$B$1)+SUMIFS(Transactions!$F:$F,Transactions!$A:$A,"&lt;="&amp;A1423,Transactions!$B:$B,Settings!$B$1))</f>
        <v/>
      </c>
      <c r="F1423" s="14" t="str">
        <f aca="false">IF(A1423="","",IF(C1423="","",D1423*B1423*C1423))</f>
        <v/>
      </c>
      <c r="G1423" s="14" t="str">
        <f aca="false">IF(F1423="","",F1423-E1423)</f>
        <v/>
      </c>
      <c r="H1423" s="14" t="str">
        <f aca="false">IF(F1423="","",IFERROR(F1423-F1422-(E1423-E1422),0))</f>
        <v/>
      </c>
    </row>
    <row r="1424" customFormat="false" ht="15" hidden="false" customHeight="false" outlineLevel="0" collapsed="false">
      <c r="A1424" s="13" t="str">
        <f aca="false">IF(Prices!A1424="","",Prices!A1424)</f>
        <v/>
      </c>
      <c r="B1424" s="14" t="str">
        <f aca="false">IF(A1424="","",Prices!C1424)</f>
        <v/>
      </c>
      <c r="C1424" s="15" t="str">
        <f aca="false">IF(A1424="","",IFERROR(INDEX(FX!$B:$B,MATCH(A1424,FX!$A:$A,1)),""))</f>
        <v/>
      </c>
      <c r="D1424" s="14" t="str">
        <f aca="false">IF(A1424="","",SUMIFS(Transactions!$D:$D,Transactions!$A:$A,"&lt;="&amp;A1424,Transactions!$B:$B,Settings!$B$1))</f>
        <v/>
      </c>
      <c r="E1424" s="14" t="str">
        <f aca="false">IF(A1424="","",SUMIFS(Transactions!$C:$C,Transactions!$A:$A,"&lt;="&amp;A1424,Transactions!$B:$B,Settings!$B$1)+SUMIFS(Transactions!$F:$F,Transactions!$A:$A,"&lt;="&amp;A1424,Transactions!$B:$B,Settings!$B$1))</f>
        <v/>
      </c>
      <c r="F1424" s="14" t="str">
        <f aca="false">IF(A1424="","",IF(C1424="","",D1424*B1424*C1424))</f>
        <v/>
      </c>
      <c r="G1424" s="14" t="str">
        <f aca="false">IF(F1424="","",F1424-E1424)</f>
        <v/>
      </c>
      <c r="H1424" s="14" t="str">
        <f aca="false">IF(F1424="","",IFERROR(F1424-F1423-(E1424-E1423),0))</f>
        <v/>
      </c>
    </row>
    <row r="1425" customFormat="false" ht="15" hidden="false" customHeight="false" outlineLevel="0" collapsed="false">
      <c r="A1425" s="13" t="str">
        <f aca="false">IF(Prices!A1425="","",Prices!A1425)</f>
        <v/>
      </c>
      <c r="B1425" s="14" t="str">
        <f aca="false">IF(A1425="","",Prices!C1425)</f>
        <v/>
      </c>
      <c r="C1425" s="15" t="str">
        <f aca="false">IF(A1425="","",IFERROR(INDEX(FX!$B:$B,MATCH(A1425,FX!$A:$A,1)),""))</f>
        <v/>
      </c>
      <c r="D1425" s="14" t="str">
        <f aca="false">IF(A1425="","",SUMIFS(Transactions!$D:$D,Transactions!$A:$A,"&lt;="&amp;A1425,Transactions!$B:$B,Settings!$B$1))</f>
        <v/>
      </c>
      <c r="E1425" s="14" t="str">
        <f aca="false">IF(A1425="","",SUMIFS(Transactions!$C:$C,Transactions!$A:$A,"&lt;="&amp;A1425,Transactions!$B:$B,Settings!$B$1)+SUMIFS(Transactions!$F:$F,Transactions!$A:$A,"&lt;="&amp;A1425,Transactions!$B:$B,Settings!$B$1))</f>
        <v/>
      </c>
      <c r="F1425" s="14" t="str">
        <f aca="false">IF(A1425="","",IF(C1425="","",D1425*B1425*C1425))</f>
        <v/>
      </c>
      <c r="G1425" s="14" t="str">
        <f aca="false">IF(F1425="","",F1425-E1425)</f>
        <v/>
      </c>
      <c r="H1425" s="14" t="str">
        <f aca="false">IF(F1425="","",IFERROR(F1425-F1424-(E1425-E1424),0))</f>
        <v/>
      </c>
    </row>
    <row r="1426" customFormat="false" ht="15" hidden="false" customHeight="false" outlineLevel="0" collapsed="false">
      <c r="A1426" s="13" t="str">
        <f aca="false">IF(Prices!A1426="","",Prices!A1426)</f>
        <v/>
      </c>
      <c r="B1426" s="14" t="str">
        <f aca="false">IF(A1426="","",Prices!C1426)</f>
        <v/>
      </c>
      <c r="C1426" s="15" t="str">
        <f aca="false">IF(A1426="","",IFERROR(INDEX(FX!$B:$B,MATCH(A1426,FX!$A:$A,1)),""))</f>
        <v/>
      </c>
      <c r="D1426" s="14" t="str">
        <f aca="false">IF(A1426="","",SUMIFS(Transactions!$D:$D,Transactions!$A:$A,"&lt;="&amp;A1426,Transactions!$B:$B,Settings!$B$1))</f>
        <v/>
      </c>
      <c r="E1426" s="14" t="str">
        <f aca="false">IF(A1426="","",SUMIFS(Transactions!$C:$C,Transactions!$A:$A,"&lt;="&amp;A1426,Transactions!$B:$B,Settings!$B$1)+SUMIFS(Transactions!$F:$F,Transactions!$A:$A,"&lt;="&amp;A1426,Transactions!$B:$B,Settings!$B$1))</f>
        <v/>
      </c>
      <c r="F1426" s="14" t="str">
        <f aca="false">IF(A1426="","",IF(C1426="","",D1426*B1426*C1426))</f>
        <v/>
      </c>
      <c r="G1426" s="14" t="str">
        <f aca="false">IF(F1426="","",F1426-E1426)</f>
        <v/>
      </c>
      <c r="H1426" s="14" t="str">
        <f aca="false">IF(F1426="","",IFERROR(F1426-F1425-(E1426-E1425),0))</f>
        <v/>
      </c>
    </row>
    <row r="1427" customFormat="false" ht="15" hidden="false" customHeight="false" outlineLevel="0" collapsed="false">
      <c r="A1427" s="13" t="str">
        <f aca="false">IF(Prices!A1427="","",Prices!A1427)</f>
        <v/>
      </c>
      <c r="B1427" s="14" t="str">
        <f aca="false">IF(A1427="","",Prices!C1427)</f>
        <v/>
      </c>
      <c r="C1427" s="15" t="str">
        <f aca="false">IF(A1427="","",IFERROR(INDEX(FX!$B:$B,MATCH(A1427,FX!$A:$A,1)),""))</f>
        <v/>
      </c>
      <c r="D1427" s="14" t="str">
        <f aca="false">IF(A1427="","",SUMIFS(Transactions!$D:$D,Transactions!$A:$A,"&lt;="&amp;A1427,Transactions!$B:$B,Settings!$B$1))</f>
        <v/>
      </c>
      <c r="E1427" s="14" t="str">
        <f aca="false">IF(A1427="","",SUMIFS(Transactions!$C:$C,Transactions!$A:$A,"&lt;="&amp;A1427,Transactions!$B:$B,Settings!$B$1)+SUMIFS(Transactions!$F:$F,Transactions!$A:$A,"&lt;="&amp;A1427,Transactions!$B:$B,Settings!$B$1))</f>
        <v/>
      </c>
      <c r="F1427" s="14" t="str">
        <f aca="false">IF(A1427="","",IF(C1427="","",D1427*B1427*C1427))</f>
        <v/>
      </c>
      <c r="G1427" s="14" t="str">
        <f aca="false">IF(F1427="","",F1427-E1427)</f>
        <v/>
      </c>
      <c r="H1427" s="14" t="str">
        <f aca="false">IF(F1427="","",IFERROR(F1427-F1426-(E1427-E1426),0))</f>
        <v/>
      </c>
    </row>
    <row r="1428" customFormat="false" ht="15" hidden="false" customHeight="false" outlineLevel="0" collapsed="false">
      <c r="A1428" s="13" t="str">
        <f aca="false">IF(Prices!A1428="","",Prices!A1428)</f>
        <v/>
      </c>
      <c r="B1428" s="14" t="str">
        <f aca="false">IF(A1428="","",Prices!C1428)</f>
        <v/>
      </c>
      <c r="C1428" s="15" t="str">
        <f aca="false">IF(A1428="","",IFERROR(INDEX(FX!$B:$B,MATCH(A1428,FX!$A:$A,1)),""))</f>
        <v/>
      </c>
      <c r="D1428" s="14" t="str">
        <f aca="false">IF(A1428="","",SUMIFS(Transactions!$D:$D,Transactions!$A:$A,"&lt;="&amp;A1428,Transactions!$B:$B,Settings!$B$1))</f>
        <v/>
      </c>
      <c r="E1428" s="14" t="str">
        <f aca="false">IF(A1428="","",SUMIFS(Transactions!$C:$C,Transactions!$A:$A,"&lt;="&amp;A1428,Transactions!$B:$B,Settings!$B$1)+SUMIFS(Transactions!$F:$F,Transactions!$A:$A,"&lt;="&amp;A1428,Transactions!$B:$B,Settings!$B$1))</f>
        <v/>
      </c>
      <c r="F1428" s="14" t="str">
        <f aca="false">IF(A1428="","",IF(C1428="","",D1428*B1428*C1428))</f>
        <v/>
      </c>
      <c r="G1428" s="14" t="str">
        <f aca="false">IF(F1428="","",F1428-E1428)</f>
        <v/>
      </c>
      <c r="H1428" s="14" t="str">
        <f aca="false">IF(F1428="","",IFERROR(F1428-F1427-(E1428-E1427),0))</f>
        <v/>
      </c>
    </row>
    <row r="1429" customFormat="false" ht="15" hidden="false" customHeight="false" outlineLevel="0" collapsed="false">
      <c r="A1429" s="13" t="str">
        <f aca="false">IF(Prices!A1429="","",Prices!A1429)</f>
        <v/>
      </c>
      <c r="B1429" s="14" t="str">
        <f aca="false">IF(A1429="","",Prices!C1429)</f>
        <v/>
      </c>
      <c r="C1429" s="15" t="str">
        <f aca="false">IF(A1429="","",IFERROR(INDEX(FX!$B:$B,MATCH(A1429,FX!$A:$A,1)),""))</f>
        <v/>
      </c>
      <c r="D1429" s="14" t="str">
        <f aca="false">IF(A1429="","",SUMIFS(Transactions!$D:$D,Transactions!$A:$A,"&lt;="&amp;A1429,Transactions!$B:$B,Settings!$B$1))</f>
        <v/>
      </c>
      <c r="E1429" s="14" t="str">
        <f aca="false">IF(A1429="","",SUMIFS(Transactions!$C:$C,Transactions!$A:$A,"&lt;="&amp;A1429,Transactions!$B:$B,Settings!$B$1)+SUMIFS(Transactions!$F:$F,Transactions!$A:$A,"&lt;="&amp;A1429,Transactions!$B:$B,Settings!$B$1))</f>
        <v/>
      </c>
      <c r="F1429" s="14" t="str">
        <f aca="false">IF(A1429="","",IF(C1429="","",D1429*B1429*C1429))</f>
        <v/>
      </c>
      <c r="G1429" s="14" t="str">
        <f aca="false">IF(F1429="","",F1429-E1429)</f>
        <v/>
      </c>
      <c r="H1429" s="14" t="str">
        <f aca="false">IF(F1429="","",IFERROR(F1429-F1428-(E1429-E1428),0))</f>
        <v/>
      </c>
    </row>
    <row r="1430" customFormat="false" ht="15" hidden="false" customHeight="false" outlineLevel="0" collapsed="false">
      <c r="A1430" s="13" t="str">
        <f aca="false">IF(Prices!A1430="","",Prices!A1430)</f>
        <v/>
      </c>
      <c r="B1430" s="14" t="str">
        <f aca="false">IF(A1430="","",Prices!C1430)</f>
        <v/>
      </c>
      <c r="C1430" s="15" t="str">
        <f aca="false">IF(A1430="","",IFERROR(INDEX(FX!$B:$B,MATCH(A1430,FX!$A:$A,1)),""))</f>
        <v/>
      </c>
      <c r="D1430" s="14" t="str">
        <f aca="false">IF(A1430="","",SUMIFS(Transactions!$D:$D,Transactions!$A:$A,"&lt;="&amp;A1430,Transactions!$B:$B,Settings!$B$1))</f>
        <v/>
      </c>
      <c r="E1430" s="14" t="str">
        <f aca="false">IF(A1430="","",SUMIFS(Transactions!$C:$C,Transactions!$A:$A,"&lt;="&amp;A1430,Transactions!$B:$B,Settings!$B$1)+SUMIFS(Transactions!$F:$F,Transactions!$A:$A,"&lt;="&amp;A1430,Transactions!$B:$B,Settings!$B$1))</f>
        <v/>
      </c>
      <c r="F1430" s="14" t="str">
        <f aca="false">IF(A1430="","",IF(C1430="","",D1430*B1430*C1430))</f>
        <v/>
      </c>
      <c r="G1430" s="14" t="str">
        <f aca="false">IF(F1430="","",F1430-E1430)</f>
        <v/>
      </c>
      <c r="H1430" s="14" t="str">
        <f aca="false">IF(F1430="","",IFERROR(F1430-F1429-(E1430-E1429),0))</f>
        <v/>
      </c>
    </row>
    <row r="1431" customFormat="false" ht="15" hidden="false" customHeight="false" outlineLevel="0" collapsed="false">
      <c r="A1431" s="13" t="str">
        <f aca="false">IF(Prices!A1431="","",Prices!A1431)</f>
        <v/>
      </c>
      <c r="B1431" s="14" t="str">
        <f aca="false">IF(A1431="","",Prices!C1431)</f>
        <v/>
      </c>
      <c r="C1431" s="15" t="str">
        <f aca="false">IF(A1431="","",IFERROR(INDEX(FX!$B:$B,MATCH(A1431,FX!$A:$A,1)),""))</f>
        <v/>
      </c>
      <c r="D1431" s="14" t="str">
        <f aca="false">IF(A1431="","",SUMIFS(Transactions!$D:$D,Transactions!$A:$A,"&lt;="&amp;A1431,Transactions!$B:$B,Settings!$B$1))</f>
        <v/>
      </c>
      <c r="E1431" s="14" t="str">
        <f aca="false">IF(A1431="","",SUMIFS(Transactions!$C:$C,Transactions!$A:$A,"&lt;="&amp;A1431,Transactions!$B:$B,Settings!$B$1)+SUMIFS(Transactions!$F:$F,Transactions!$A:$A,"&lt;="&amp;A1431,Transactions!$B:$B,Settings!$B$1))</f>
        <v/>
      </c>
      <c r="F1431" s="14" t="str">
        <f aca="false">IF(A1431="","",IF(C1431="","",D1431*B1431*C1431))</f>
        <v/>
      </c>
      <c r="G1431" s="14" t="str">
        <f aca="false">IF(F1431="","",F1431-E1431)</f>
        <v/>
      </c>
      <c r="H1431" s="14" t="str">
        <f aca="false">IF(F1431="","",IFERROR(F1431-F1430-(E1431-E1430),0))</f>
        <v/>
      </c>
    </row>
    <row r="1432" customFormat="false" ht="15" hidden="false" customHeight="false" outlineLevel="0" collapsed="false">
      <c r="A1432" s="13" t="str">
        <f aca="false">IF(Prices!A1432="","",Prices!A1432)</f>
        <v/>
      </c>
      <c r="B1432" s="14" t="str">
        <f aca="false">IF(A1432="","",Prices!C1432)</f>
        <v/>
      </c>
      <c r="C1432" s="15" t="str">
        <f aca="false">IF(A1432="","",IFERROR(INDEX(FX!$B:$B,MATCH(A1432,FX!$A:$A,1)),""))</f>
        <v/>
      </c>
      <c r="D1432" s="14" t="str">
        <f aca="false">IF(A1432="","",SUMIFS(Transactions!$D:$D,Transactions!$A:$A,"&lt;="&amp;A1432,Transactions!$B:$B,Settings!$B$1))</f>
        <v/>
      </c>
      <c r="E1432" s="14" t="str">
        <f aca="false">IF(A1432="","",SUMIFS(Transactions!$C:$C,Transactions!$A:$A,"&lt;="&amp;A1432,Transactions!$B:$B,Settings!$B$1)+SUMIFS(Transactions!$F:$F,Transactions!$A:$A,"&lt;="&amp;A1432,Transactions!$B:$B,Settings!$B$1))</f>
        <v/>
      </c>
      <c r="F1432" s="14" t="str">
        <f aca="false">IF(A1432="","",IF(C1432="","",D1432*B1432*C1432))</f>
        <v/>
      </c>
      <c r="G1432" s="14" t="str">
        <f aca="false">IF(F1432="","",F1432-E1432)</f>
        <v/>
      </c>
      <c r="H1432" s="14" t="str">
        <f aca="false">IF(F1432="","",IFERROR(F1432-F1431-(E1432-E1431),0))</f>
        <v/>
      </c>
    </row>
    <row r="1433" customFormat="false" ht="15" hidden="false" customHeight="false" outlineLevel="0" collapsed="false">
      <c r="A1433" s="13" t="str">
        <f aca="false">IF(Prices!A1433="","",Prices!A1433)</f>
        <v/>
      </c>
      <c r="B1433" s="14" t="str">
        <f aca="false">IF(A1433="","",Prices!C1433)</f>
        <v/>
      </c>
      <c r="C1433" s="15" t="str">
        <f aca="false">IF(A1433="","",IFERROR(INDEX(FX!$B:$B,MATCH(A1433,FX!$A:$A,1)),""))</f>
        <v/>
      </c>
      <c r="D1433" s="14" t="str">
        <f aca="false">IF(A1433="","",SUMIFS(Transactions!$D:$D,Transactions!$A:$A,"&lt;="&amp;A1433,Transactions!$B:$B,Settings!$B$1))</f>
        <v/>
      </c>
      <c r="E1433" s="14" t="str">
        <f aca="false">IF(A1433="","",SUMIFS(Transactions!$C:$C,Transactions!$A:$A,"&lt;="&amp;A1433,Transactions!$B:$B,Settings!$B$1)+SUMIFS(Transactions!$F:$F,Transactions!$A:$A,"&lt;="&amp;A1433,Transactions!$B:$B,Settings!$B$1))</f>
        <v/>
      </c>
      <c r="F1433" s="14" t="str">
        <f aca="false">IF(A1433="","",IF(C1433="","",D1433*B1433*C1433))</f>
        <v/>
      </c>
      <c r="G1433" s="14" t="str">
        <f aca="false">IF(F1433="","",F1433-E1433)</f>
        <v/>
      </c>
      <c r="H1433" s="14" t="str">
        <f aca="false">IF(F1433="","",IFERROR(F1433-F1432-(E1433-E1432),0))</f>
        <v/>
      </c>
    </row>
    <row r="1434" customFormat="false" ht="15" hidden="false" customHeight="false" outlineLevel="0" collapsed="false">
      <c r="A1434" s="13" t="str">
        <f aca="false">IF(Prices!A1434="","",Prices!A1434)</f>
        <v/>
      </c>
      <c r="B1434" s="14" t="str">
        <f aca="false">IF(A1434="","",Prices!C1434)</f>
        <v/>
      </c>
      <c r="C1434" s="15" t="str">
        <f aca="false">IF(A1434="","",IFERROR(INDEX(FX!$B:$B,MATCH(A1434,FX!$A:$A,1)),""))</f>
        <v/>
      </c>
      <c r="D1434" s="14" t="str">
        <f aca="false">IF(A1434="","",SUMIFS(Transactions!$D:$D,Transactions!$A:$A,"&lt;="&amp;A1434,Transactions!$B:$B,Settings!$B$1))</f>
        <v/>
      </c>
      <c r="E1434" s="14" t="str">
        <f aca="false">IF(A1434="","",SUMIFS(Transactions!$C:$C,Transactions!$A:$A,"&lt;="&amp;A1434,Transactions!$B:$B,Settings!$B$1)+SUMIFS(Transactions!$F:$F,Transactions!$A:$A,"&lt;="&amp;A1434,Transactions!$B:$B,Settings!$B$1))</f>
        <v/>
      </c>
      <c r="F1434" s="14" t="str">
        <f aca="false">IF(A1434="","",IF(C1434="","",D1434*B1434*C1434))</f>
        <v/>
      </c>
      <c r="G1434" s="14" t="str">
        <f aca="false">IF(F1434="","",F1434-E1434)</f>
        <v/>
      </c>
      <c r="H1434" s="14" t="str">
        <f aca="false">IF(F1434="","",IFERROR(F1434-F1433-(E1434-E1433),0))</f>
        <v/>
      </c>
    </row>
    <row r="1435" customFormat="false" ht="15" hidden="false" customHeight="false" outlineLevel="0" collapsed="false">
      <c r="A1435" s="13" t="str">
        <f aca="false">IF(Prices!A1435="","",Prices!A1435)</f>
        <v/>
      </c>
      <c r="B1435" s="14" t="str">
        <f aca="false">IF(A1435="","",Prices!C1435)</f>
        <v/>
      </c>
      <c r="C1435" s="15" t="str">
        <f aca="false">IF(A1435="","",IFERROR(INDEX(FX!$B:$B,MATCH(A1435,FX!$A:$A,1)),""))</f>
        <v/>
      </c>
      <c r="D1435" s="14" t="str">
        <f aca="false">IF(A1435="","",SUMIFS(Transactions!$D:$D,Transactions!$A:$A,"&lt;="&amp;A1435,Transactions!$B:$B,Settings!$B$1))</f>
        <v/>
      </c>
      <c r="E1435" s="14" t="str">
        <f aca="false">IF(A1435="","",SUMIFS(Transactions!$C:$C,Transactions!$A:$A,"&lt;="&amp;A1435,Transactions!$B:$B,Settings!$B$1)+SUMIFS(Transactions!$F:$F,Transactions!$A:$A,"&lt;="&amp;A1435,Transactions!$B:$B,Settings!$B$1))</f>
        <v/>
      </c>
      <c r="F1435" s="14" t="str">
        <f aca="false">IF(A1435="","",IF(C1435="","",D1435*B1435*C1435))</f>
        <v/>
      </c>
      <c r="G1435" s="14" t="str">
        <f aca="false">IF(F1435="","",F1435-E1435)</f>
        <v/>
      </c>
      <c r="H1435" s="14" t="str">
        <f aca="false">IF(F1435="","",IFERROR(F1435-F1434-(E1435-E1434),0))</f>
        <v/>
      </c>
    </row>
    <row r="1436" customFormat="false" ht="15" hidden="false" customHeight="false" outlineLevel="0" collapsed="false">
      <c r="A1436" s="13" t="str">
        <f aca="false">IF(Prices!A1436="","",Prices!A1436)</f>
        <v/>
      </c>
      <c r="B1436" s="14" t="str">
        <f aca="false">IF(A1436="","",Prices!C1436)</f>
        <v/>
      </c>
      <c r="C1436" s="15" t="str">
        <f aca="false">IF(A1436="","",IFERROR(INDEX(FX!$B:$B,MATCH(A1436,FX!$A:$A,1)),""))</f>
        <v/>
      </c>
      <c r="D1436" s="14" t="str">
        <f aca="false">IF(A1436="","",SUMIFS(Transactions!$D:$D,Transactions!$A:$A,"&lt;="&amp;A1436,Transactions!$B:$B,Settings!$B$1))</f>
        <v/>
      </c>
      <c r="E1436" s="14" t="str">
        <f aca="false">IF(A1436="","",SUMIFS(Transactions!$C:$C,Transactions!$A:$A,"&lt;="&amp;A1436,Transactions!$B:$B,Settings!$B$1)+SUMIFS(Transactions!$F:$F,Transactions!$A:$A,"&lt;="&amp;A1436,Transactions!$B:$B,Settings!$B$1))</f>
        <v/>
      </c>
      <c r="F1436" s="14" t="str">
        <f aca="false">IF(A1436="","",IF(C1436="","",D1436*B1436*C1436))</f>
        <v/>
      </c>
      <c r="G1436" s="14" t="str">
        <f aca="false">IF(F1436="","",F1436-E1436)</f>
        <v/>
      </c>
      <c r="H1436" s="14" t="str">
        <f aca="false">IF(F1436="","",IFERROR(F1436-F1435-(E1436-E1435),0))</f>
        <v/>
      </c>
    </row>
    <row r="1437" customFormat="false" ht="15" hidden="false" customHeight="false" outlineLevel="0" collapsed="false">
      <c r="A1437" s="13" t="str">
        <f aca="false">IF(Prices!A1437="","",Prices!A1437)</f>
        <v/>
      </c>
      <c r="B1437" s="14" t="str">
        <f aca="false">IF(A1437="","",Prices!C1437)</f>
        <v/>
      </c>
      <c r="C1437" s="15" t="str">
        <f aca="false">IF(A1437="","",IFERROR(INDEX(FX!$B:$B,MATCH(A1437,FX!$A:$A,1)),""))</f>
        <v/>
      </c>
      <c r="D1437" s="14" t="str">
        <f aca="false">IF(A1437="","",SUMIFS(Transactions!$D:$D,Transactions!$A:$A,"&lt;="&amp;A1437,Transactions!$B:$B,Settings!$B$1))</f>
        <v/>
      </c>
      <c r="E1437" s="14" t="str">
        <f aca="false">IF(A1437="","",SUMIFS(Transactions!$C:$C,Transactions!$A:$A,"&lt;="&amp;A1437,Transactions!$B:$B,Settings!$B$1)+SUMIFS(Transactions!$F:$F,Transactions!$A:$A,"&lt;="&amp;A1437,Transactions!$B:$B,Settings!$B$1))</f>
        <v/>
      </c>
      <c r="F1437" s="14" t="str">
        <f aca="false">IF(A1437="","",IF(C1437="","",D1437*B1437*C1437))</f>
        <v/>
      </c>
      <c r="G1437" s="14" t="str">
        <f aca="false">IF(F1437="","",F1437-E1437)</f>
        <v/>
      </c>
      <c r="H1437" s="14" t="str">
        <f aca="false">IF(F1437="","",IFERROR(F1437-F1436-(E1437-E1436),0))</f>
        <v/>
      </c>
    </row>
    <row r="1438" customFormat="false" ht="15" hidden="false" customHeight="false" outlineLevel="0" collapsed="false">
      <c r="A1438" s="13" t="str">
        <f aca="false">IF(Prices!A1438="","",Prices!A1438)</f>
        <v/>
      </c>
      <c r="B1438" s="14" t="str">
        <f aca="false">IF(A1438="","",Prices!C1438)</f>
        <v/>
      </c>
      <c r="C1438" s="15" t="str">
        <f aca="false">IF(A1438="","",IFERROR(INDEX(FX!$B:$B,MATCH(A1438,FX!$A:$A,1)),""))</f>
        <v/>
      </c>
      <c r="D1438" s="14" t="str">
        <f aca="false">IF(A1438="","",SUMIFS(Transactions!$D:$D,Transactions!$A:$A,"&lt;="&amp;A1438,Transactions!$B:$B,Settings!$B$1))</f>
        <v/>
      </c>
      <c r="E1438" s="14" t="str">
        <f aca="false">IF(A1438="","",SUMIFS(Transactions!$C:$C,Transactions!$A:$A,"&lt;="&amp;A1438,Transactions!$B:$B,Settings!$B$1)+SUMIFS(Transactions!$F:$F,Transactions!$A:$A,"&lt;="&amp;A1438,Transactions!$B:$B,Settings!$B$1))</f>
        <v/>
      </c>
      <c r="F1438" s="14" t="str">
        <f aca="false">IF(A1438="","",IF(C1438="","",D1438*B1438*C1438))</f>
        <v/>
      </c>
      <c r="G1438" s="14" t="str">
        <f aca="false">IF(F1438="","",F1438-E1438)</f>
        <v/>
      </c>
      <c r="H1438" s="14" t="str">
        <f aca="false">IF(F1438="","",IFERROR(F1438-F1437-(E1438-E1437),0))</f>
        <v/>
      </c>
    </row>
    <row r="1439" customFormat="false" ht="15" hidden="false" customHeight="false" outlineLevel="0" collapsed="false">
      <c r="A1439" s="13" t="str">
        <f aca="false">IF(Prices!A1439="","",Prices!A1439)</f>
        <v/>
      </c>
      <c r="B1439" s="14" t="str">
        <f aca="false">IF(A1439="","",Prices!C1439)</f>
        <v/>
      </c>
      <c r="C1439" s="15" t="str">
        <f aca="false">IF(A1439="","",IFERROR(INDEX(FX!$B:$B,MATCH(A1439,FX!$A:$A,1)),""))</f>
        <v/>
      </c>
      <c r="D1439" s="14" t="str">
        <f aca="false">IF(A1439="","",SUMIFS(Transactions!$D:$D,Transactions!$A:$A,"&lt;="&amp;A1439,Transactions!$B:$B,Settings!$B$1))</f>
        <v/>
      </c>
      <c r="E1439" s="14" t="str">
        <f aca="false">IF(A1439="","",SUMIFS(Transactions!$C:$C,Transactions!$A:$A,"&lt;="&amp;A1439,Transactions!$B:$B,Settings!$B$1)+SUMIFS(Transactions!$F:$F,Transactions!$A:$A,"&lt;="&amp;A1439,Transactions!$B:$B,Settings!$B$1))</f>
        <v/>
      </c>
      <c r="F1439" s="14" t="str">
        <f aca="false">IF(A1439="","",IF(C1439="","",D1439*B1439*C1439))</f>
        <v/>
      </c>
      <c r="G1439" s="14" t="str">
        <f aca="false">IF(F1439="","",F1439-E1439)</f>
        <v/>
      </c>
      <c r="H1439" s="14" t="str">
        <f aca="false">IF(F1439="","",IFERROR(F1439-F1438-(E1439-E1438),0))</f>
        <v/>
      </c>
    </row>
    <row r="1440" customFormat="false" ht="15" hidden="false" customHeight="false" outlineLevel="0" collapsed="false">
      <c r="A1440" s="13" t="str">
        <f aca="false">IF(Prices!A1440="","",Prices!A1440)</f>
        <v/>
      </c>
      <c r="B1440" s="14" t="str">
        <f aca="false">IF(A1440="","",Prices!C1440)</f>
        <v/>
      </c>
      <c r="C1440" s="15" t="str">
        <f aca="false">IF(A1440="","",IFERROR(INDEX(FX!$B:$B,MATCH(A1440,FX!$A:$A,1)),""))</f>
        <v/>
      </c>
      <c r="D1440" s="14" t="str">
        <f aca="false">IF(A1440="","",SUMIFS(Transactions!$D:$D,Transactions!$A:$A,"&lt;="&amp;A1440,Transactions!$B:$B,Settings!$B$1))</f>
        <v/>
      </c>
      <c r="E1440" s="14" t="str">
        <f aca="false">IF(A1440="","",SUMIFS(Transactions!$C:$C,Transactions!$A:$A,"&lt;="&amp;A1440,Transactions!$B:$B,Settings!$B$1)+SUMIFS(Transactions!$F:$F,Transactions!$A:$A,"&lt;="&amp;A1440,Transactions!$B:$B,Settings!$B$1))</f>
        <v/>
      </c>
      <c r="F1440" s="14" t="str">
        <f aca="false">IF(A1440="","",IF(C1440="","",D1440*B1440*C1440))</f>
        <v/>
      </c>
      <c r="G1440" s="14" t="str">
        <f aca="false">IF(F1440="","",F1440-E1440)</f>
        <v/>
      </c>
      <c r="H1440" s="14" t="str">
        <f aca="false">IF(F1440="","",IFERROR(F1440-F1439-(E1440-E1439),0))</f>
        <v/>
      </c>
    </row>
    <row r="1441" customFormat="false" ht="15" hidden="false" customHeight="false" outlineLevel="0" collapsed="false">
      <c r="A1441" s="13" t="str">
        <f aca="false">IF(Prices!A1441="","",Prices!A1441)</f>
        <v/>
      </c>
      <c r="B1441" s="14" t="str">
        <f aca="false">IF(A1441="","",Prices!C1441)</f>
        <v/>
      </c>
      <c r="C1441" s="15" t="str">
        <f aca="false">IF(A1441="","",IFERROR(INDEX(FX!$B:$B,MATCH(A1441,FX!$A:$A,1)),""))</f>
        <v/>
      </c>
      <c r="D1441" s="14" t="str">
        <f aca="false">IF(A1441="","",SUMIFS(Transactions!$D:$D,Transactions!$A:$A,"&lt;="&amp;A1441,Transactions!$B:$B,Settings!$B$1))</f>
        <v/>
      </c>
      <c r="E1441" s="14" t="str">
        <f aca="false">IF(A1441="","",SUMIFS(Transactions!$C:$C,Transactions!$A:$A,"&lt;="&amp;A1441,Transactions!$B:$B,Settings!$B$1)+SUMIFS(Transactions!$F:$F,Transactions!$A:$A,"&lt;="&amp;A1441,Transactions!$B:$B,Settings!$B$1))</f>
        <v/>
      </c>
      <c r="F1441" s="14" t="str">
        <f aca="false">IF(A1441="","",IF(C1441="","",D1441*B1441*C1441))</f>
        <v/>
      </c>
      <c r="G1441" s="14" t="str">
        <f aca="false">IF(F1441="","",F1441-E1441)</f>
        <v/>
      </c>
      <c r="H1441" s="14" t="str">
        <f aca="false">IF(F1441="","",IFERROR(F1441-F1440-(E1441-E1440),0))</f>
        <v/>
      </c>
    </row>
    <row r="1442" customFormat="false" ht="15" hidden="false" customHeight="false" outlineLevel="0" collapsed="false">
      <c r="A1442" s="13" t="str">
        <f aca="false">IF(Prices!A1442="","",Prices!A1442)</f>
        <v/>
      </c>
      <c r="B1442" s="14" t="str">
        <f aca="false">IF(A1442="","",Prices!C1442)</f>
        <v/>
      </c>
      <c r="C1442" s="15" t="str">
        <f aca="false">IF(A1442="","",IFERROR(INDEX(FX!$B:$B,MATCH(A1442,FX!$A:$A,1)),""))</f>
        <v/>
      </c>
      <c r="D1442" s="14" t="str">
        <f aca="false">IF(A1442="","",SUMIFS(Transactions!$D:$D,Transactions!$A:$A,"&lt;="&amp;A1442,Transactions!$B:$B,Settings!$B$1))</f>
        <v/>
      </c>
      <c r="E1442" s="14" t="str">
        <f aca="false">IF(A1442="","",SUMIFS(Transactions!$C:$C,Transactions!$A:$A,"&lt;="&amp;A1442,Transactions!$B:$B,Settings!$B$1)+SUMIFS(Transactions!$F:$F,Transactions!$A:$A,"&lt;="&amp;A1442,Transactions!$B:$B,Settings!$B$1))</f>
        <v/>
      </c>
      <c r="F1442" s="14" t="str">
        <f aca="false">IF(A1442="","",IF(C1442="","",D1442*B1442*C1442))</f>
        <v/>
      </c>
      <c r="G1442" s="14" t="str">
        <f aca="false">IF(F1442="","",F1442-E1442)</f>
        <v/>
      </c>
      <c r="H1442" s="14" t="str">
        <f aca="false">IF(F1442="","",IFERROR(F1442-F1441-(E1442-E1441),0))</f>
        <v/>
      </c>
    </row>
    <row r="1443" customFormat="false" ht="15" hidden="false" customHeight="false" outlineLevel="0" collapsed="false">
      <c r="A1443" s="13" t="str">
        <f aca="false">IF(Prices!A1443="","",Prices!A1443)</f>
        <v/>
      </c>
      <c r="B1443" s="14" t="str">
        <f aca="false">IF(A1443="","",Prices!C1443)</f>
        <v/>
      </c>
      <c r="C1443" s="15" t="str">
        <f aca="false">IF(A1443="","",IFERROR(INDEX(FX!$B:$B,MATCH(A1443,FX!$A:$A,1)),""))</f>
        <v/>
      </c>
      <c r="D1443" s="14" t="str">
        <f aca="false">IF(A1443="","",SUMIFS(Transactions!$D:$D,Transactions!$A:$A,"&lt;="&amp;A1443,Transactions!$B:$B,Settings!$B$1))</f>
        <v/>
      </c>
      <c r="E1443" s="14" t="str">
        <f aca="false">IF(A1443="","",SUMIFS(Transactions!$C:$C,Transactions!$A:$A,"&lt;="&amp;A1443,Transactions!$B:$B,Settings!$B$1)+SUMIFS(Transactions!$F:$F,Transactions!$A:$A,"&lt;="&amp;A1443,Transactions!$B:$B,Settings!$B$1))</f>
        <v/>
      </c>
      <c r="F1443" s="14" t="str">
        <f aca="false">IF(A1443="","",IF(C1443="","",D1443*B1443*C1443))</f>
        <v/>
      </c>
      <c r="G1443" s="14" t="str">
        <f aca="false">IF(F1443="","",F1443-E1443)</f>
        <v/>
      </c>
      <c r="H1443" s="14" t="str">
        <f aca="false">IF(F1443="","",IFERROR(F1443-F1442-(E1443-E1442),0))</f>
        <v/>
      </c>
    </row>
    <row r="1444" customFormat="false" ht="15" hidden="false" customHeight="false" outlineLevel="0" collapsed="false">
      <c r="A1444" s="13" t="str">
        <f aca="false">IF(Prices!A1444="","",Prices!A1444)</f>
        <v/>
      </c>
      <c r="B1444" s="14" t="str">
        <f aca="false">IF(A1444="","",Prices!C1444)</f>
        <v/>
      </c>
      <c r="C1444" s="15" t="str">
        <f aca="false">IF(A1444="","",IFERROR(INDEX(FX!$B:$B,MATCH(A1444,FX!$A:$A,1)),""))</f>
        <v/>
      </c>
      <c r="D1444" s="14" t="str">
        <f aca="false">IF(A1444="","",SUMIFS(Transactions!$D:$D,Transactions!$A:$A,"&lt;="&amp;A1444,Transactions!$B:$B,Settings!$B$1))</f>
        <v/>
      </c>
      <c r="E1444" s="14" t="str">
        <f aca="false">IF(A1444="","",SUMIFS(Transactions!$C:$C,Transactions!$A:$A,"&lt;="&amp;A1444,Transactions!$B:$B,Settings!$B$1)+SUMIFS(Transactions!$F:$F,Transactions!$A:$A,"&lt;="&amp;A1444,Transactions!$B:$B,Settings!$B$1))</f>
        <v/>
      </c>
      <c r="F1444" s="14" t="str">
        <f aca="false">IF(A1444="","",IF(C1444="","",D1444*B1444*C1444))</f>
        <v/>
      </c>
      <c r="G1444" s="14" t="str">
        <f aca="false">IF(F1444="","",F1444-E1444)</f>
        <v/>
      </c>
      <c r="H1444" s="14" t="str">
        <f aca="false">IF(F1444="","",IFERROR(F1444-F1443-(E1444-E1443),0))</f>
        <v/>
      </c>
    </row>
    <row r="1445" customFormat="false" ht="15" hidden="false" customHeight="false" outlineLevel="0" collapsed="false">
      <c r="A1445" s="13" t="str">
        <f aca="false">IF(Prices!A1445="","",Prices!A1445)</f>
        <v/>
      </c>
      <c r="B1445" s="14" t="str">
        <f aca="false">IF(A1445="","",Prices!C1445)</f>
        <v/>
      </c>
      <c r="C1445" s="15" t="str">
        <f aca="false">IF(A1445="","",IFERROR(INDEX(FX!$B:$B,MATCH(A1445,FX!$A:$A,1)),""))</f>
        <v/>
      </c>
      <c r="D1445" s="14" t="str">
        <f aca="false">IF(A1445="","",SUMIFS(Transactions!$D:$D,Transactions!$A:$A,"&lt;="&amp;A1445,Transactions!$B:$B,Settings!$B$1))</f>
        <v/>
      </c>
      <c r="E1445" s="14" t="str">
        <f aca="false">IF(A1445="","",SUMIFS(Transactions!$C:$C,Transactions!$A:$A,"&lt;="&amp;A1445,Transactions!$B:$B,Settings!$B$1)+SUMIFS(Transactions!$F:$F,Transactions!$A:$A,"&lt;="&amp;A1445,Transactions!$B:$B,Settings!$B$1))</f>
        <v/>
      </c>
      <c r="F1445" s="14" t="str">
        <f aca="false">IF(A1445="","",IF(C1445="","",D1445*B1445*C1445))</f>
        <v/>
      </c>
      <c r="G1445" s="14" t="str">
        <f aca="false">IF(F1445="","",F1445-E1445)</f>
        <v/>
      </c>
      <c r="H1445" s="14" t="str">
        <f aca="false">IF(F1445="","",IFERROR(F1445-F1444-(E1445-E1444),0))</f>
        <v/>
      </c>
    </row>
    <row r="1446" customFormat="false" ht="15" hidden="false" customHeight="false" outlineLevel="0" collapsed="false">
      <c r="A1446" s="13" t="str">
        <f aca="false">IF(Prices!A1446="","",Prices!A1446)</f>
        <v/>
      </c>
      <c r="B1446" s="14" t="str">
        <f aca="false">IF(A1446="","",Prices!C1446)</f>
        <v/>
      </c>
      <c r="C1446" s="15" t="str">
        <f aca="false">IF(A1446="","",IFERROR(INDEX(FX!$B:$B,MATCH(A1446,FX!$A:$A,1)),""))</f>
        <v/>
      </c>
      <c r="D1446" s="14" t="str">
        <f aca="false">IF(A1446="","",SUMIFS(Transactions!$D:$D,Transactions!$A:$A,"&lt;="&amp;A1446,Transactions!$B:$B,Settings!$B$1))</f>
        <v/>
      </c>
      <c r="E1446" s="14" t="str">
        <f aca="false">IF(A1446="","",SUMIFS(Transactions!$C:$C,Transactions!$A:$A,"&lt;="&amp;A1446,Transactions!$B:$B,Settings!$B$1)+SUMIFS(Transactions!$F:$F,Transactions!$A:$A,"&lt;="&amp;A1446,Transactions!$B:$B,Settings!$B$1))</f>
        <v/>
      </c>
      <c r="F1446" s="14" t="str">
        <f aca="false">IF(A1446="","",IF(C1446="","",D1446*B1446*C1446))</f>
        <v/>
      </c>
      <c r="G1446" s="14" t="str">
        <f aca="false">IF(F1446="","",F1446-E1446)</f>
        <v/>
      </c>
      <c r="H1446" s="14" t="str">
        <f aca="false">IF(F1446="","",IFERROR(F1446-F1445-(E1446-E1445),0))</f>
        <v/>
      </c>
    </row>
    <row r="1447" customFormat="false" ht="15" hidden="false" customHeight="false" outlineLevel="0" collapsed="false">
      <c r="A1447" s="13" t="str">
        <f aca="false">IF(Prices!A1447="","",Prices!A1447)</f>
        <v/>
      </c>
      <c r="B1447" s="14" t="str">
        <f aca="false">IF(A1447="","",Prices!C1447)</f>
        <v/>
      </c>
      <c r="C1447" s="15" t="str">
        <f aca="false">IF(A1447="","",IFERROR(INDEX(FX!$B:$B,MATCH(A1447,FX!$A:$A,1)),""))</f>
        <v/>
      </c>
      <c r="D1447" s="14" t="str">
        <f aca="false">IF(A1447="","",SUMIFS(Transactions!$D:$D,Transactions!$A:$A,"&lt;="&amp;A1447,Transactions!$B:$B,Settings!$B$1))</f>
        <v/>
      </c>
      <c r="E1447" s="14" t="str">
        <f aca="false">IF(A1447="","",SUMIFS(Transactions!$C:$C,Transactions!$A:$A,"&lt;="&amp;A1447,Transactions!$B:$B,Settings!$B$1)+SUMIFS(Transactions!$F:$F,Transactions!$A:$A,"&lt;="&amp;A1447,Transactions!$B:$B,Settings!$B$1))</f>
        <v/>
      </c>
      <c r="F1447" s="14" t="str">
        <f aca="false">IF(A1447="","",IF(C1447="","",D1447*B1447*C1447))</f>
        <v/>
      </c>
      <c r="G1447" s="14" t="str">
        <f aca="false">IF(F1447="","",F1447-E1447)</f>
        <v/>
      </c>
      <c r="H1447" s="14" t="str">
        <f aca="false">IF(F1447="","",IFERROR(F1447-F1446-(E1447-E1446),0))</f>
        <v/>
      </c>
    </row>
    <row r="1448" customFormat="false" ht="15" hidden="false" customHeight="false" outlineLevel="0" collapsed="false">
      <c r="A1448" s="13" t="str">
        <f aca="false">IF(Prices!A1448="","",Prices!A1448)</f>
        <v/>
      </c>
      <c r="B1448" s="14" t="str">
        <f aca="false">IF(A1448="","",Prices!C1448)</f>
        <v/>
      </c>
      <c r="C1448" s="15" t="str">
        <f aca="false">IF(A1448="","",IFERROR(INDEX(FX!$B:$B,MATCH(A1448,FX!$A:$A,1)),""))</f>
        <v/>
      </c>
      <c r="D1448" s="14" t="str">
        <f aca="false">IF(A1448="","",SUMIFS(Transactions!$D:$D,Transactions!$A:$A,"&lt;="&amp;A1448,Transactions!$B:$B,Settings!$B$1))</f>
        <v/>
      </c>
      <c r="E1448" s="14" t="str">
        <f aca="false">IF(A1448="","",SUMIFS(Transactions!$C:$C,Transactions!$A:$A,"&lt;="&amp;A1448,Transactions!$B:$B,Settings!$B$1)+SUMIFS(Transactions!$F:$F,Transactions!$A:$A,"&lt;="&amp;A1448,Transactions!$B:$B,Settings!$B$1))</f>
        <v/>
      </c>
      <c r="F1448" s="14" t="str">
        <f aca="false">IF(A1448="","",IF(C1448="","",D1448*B1448*C1448))</f>
        <v/>
      </c>
      <c r="G1448" s="14" t="str">
        <f aca="false">IF(F1448="","",F1448-E1448)</f>
        <v/>
      </c>
      <c r="H1448" s="14" t="str">
        <f aca="false">IF(F1448="","",IFERROR(F1448-F1447-(E1448-E1447),0))</f>
        <v/>
      </c>
    </row>
    <row r="1449" customFormat="false" ht="15" hidden="false" customHeight="false" outlineLevel="0" collapsed="false">
      <c r="A1449" s="13" t="str">
        <f aca="false">IF(Prices!A1449="","",Prices!A1449)</f>
        <v/>
      </c>
      <c r="B1449" s="14" t="str">
        <f aca="false">IF(A1449="","",Prices!C1449)</f>
        <v/>
      </c>
      <c r="C1449" s="15" t="str">
        <f aca="false">IF(A1449="","",IFERROR(INDEX(FX!$B:$B,MATCH(A1449,FX!$A:$A,1)),""))</f>
        <v/>
      </c>
      <c r="D1449" s="14" t="str">
        <f aca="false">IF(A1449="","",SUMIFS(Transactions!$D:$D,Transactions!$A:$A,"&lt;="&amp;A1449,Transactions!$B:$B,Settings!$B$1))</f>
        <v/>
      </c>
      <c r="E1449" s="14" t="str">
        <f aca="false">IF(A1449="","",SUMIFS(Transactions!$C:$C,Transactions!$A:$A,"&lt;="&amp;A1449,Transactions!$B:$B,Settings!$B$1)+SUMIFS(Transactions!$F:$F,Transactions!$A:$A,"&lt;="&amp;A1449,Transactions!$B:$B,Settings!$B$1))</f>
        <v/>
      </c>
      <c r="F1449" s="14" t="str">
        <f aca="false">IF(A1449="","",IF(C1449="","",D1449*B1449*C1449))</f>
        <v/>
      </c>
      <c r="G1449" s="14" t="str">
        <f aca="false">IF(F1449="","",F1449-E1449)</f>
        <v/>
      </c>
      <c r="H1449" s="14" t="str">
        <f aca="false">IF(F1449="","",IFERROR(F1449-F1448-(E1449-E1448),0))</f>
        <v/>
      </c>
    </row>
    <row r="1450" customFormat="false" ht="15" hidden="false" customHeight="false" outlineLevel="0" collapsed="false">
      <c r="A1450" s="13" t="str">
        <f aca="false">IF(Prices!A1450="","",Prices!A1450)</f>
        <v/>
      </c>
      <c r="B1450" s="14" t="str">
        <f aca="false">IF(A1450="","",Prices!C1450)</f>
        <v/>
      </c>
      <c r="C1450" s="15" t="str">
        <f aca="false">IF(A1450="","",IFERROR(INDEX(FX!$B:$B,MATCH(A1450,FX!$A:$A,1)),""))</f>
        <v/>
      </c>
      <c r="D1450" s="14" t="str">
        <f aca="false">IF(A1450="","",SUMIFS(Transactions!$D:$D,Transactions!$A:$A,"&lt;="&amp;A1450,Transactions!$B:$B,Settings!$B$1))</f>
        <v/>
      </c>
      <c r="E1450" s="14" t="str">
        <f aca="false">IF(A1450="","",SUMIFS(Transactions!$C:$C,Transactions!$A:$A,"&lt;="&amp;A1450,Transactions!$B:$B,Settings!$B$1)+SUMIFS(Transactions!$F:$F,Transactions!$A:$A,"&lt;="&amp;A1450,Transactions!$B:$B,Settings!$B$1))</f>
        <v/>
      </c>
      <c r="F1450" s="14" t="str">
        <f aca="false">IF(A1450="","",IF(C1450="","",D1450*B1450*C1450))</f>
        <v/>
      </c>
      <c r="G1450" s="14" t="str">
        <f aca="false">IF(F1450="","",F1450-E1450)</f>
        <v/>
      </c>
      <c r="H1450" s="14" t="str">
        <f aca="false">IF(F1450="","",IFERROR(F1450-F1449-(E1450-E1449),0))</f>
        <v/>
      </c>
    </row>
    <row r="1451" customFormat="false" ht="15" hidden="false" customHeight="false" outlineLevel="0" collapsed="false">
      <c r="A1451" s="13" t="str">
        <f aca="false">IF(Prices!A1451="","",Prices!A1451)</f>
        <v/>
      </c>
      <c r="B1451" s="14" t="str">
        <f aca="false">IF(A1451="","",Prices!C1451)</f>
        <v/>
      </c>
      <c r="C1451" s="15" t="str">
        <f aca="false">IF(A1451="","",IFERROR(INDEX(FX!$B:$B,MATCH(A1451,FX!$A:$A,1)),""))</f>
        <v/>
      </c>
      <c r="D1451" s="14" t="str">
        <f aca="false">IF(A1451="","",SUMIFS(Transactions!$D:$D,Transactions!$A:$A,"&lt;="&amp;A1451,Transactions!$B:$B,Settings!$B$1))</f>
        <v/>
      </c>
      <c r="E1451" s="14" t="str">
        <f aca="false">IF(A1451="","",SUMIFS(Transactions!$C:$C,Transactions!$A:$A,"&lt;="&amp;A1451,Transactions!$B:$B,Settings!$B$1)+SUMIFS(Transactions!$F:$F,Transactions!$A:$A,"&lt;="&amp;A1451,Transactions!$B:$B,Settings!$B$1))</f>
        <v/>
      </c>
      <c r="F1451" s="14" t="str">
        <f aca="false">IF(A1451="","",IF(C1451="","",D1451*B1451*C1451))</f>
        <v/>
      </c>
      <c r="G1451" s="14" t="str">
        <f aca="false">IF(F1451="","",F1451-E1451)</f>
        <v/>
      </c>
      <c r="H1451" s="14" t="str">
        <f aca="false">IF(F1451="","",IFERROR(F1451-F1450-(E1451-E1450),0))</f>
        <v/>
      </c>
    </row>
    <row r="1452" customFormat="false" ht="15" hidden="false" customHeight="false" outlineLevel="0" collapsed="false">
      <c r="A1452" s="13" t="str">
        <f aca="false">IF(Prices!A1452="","",Prices!A1452)</f>
        <v/>
      </c>
      <c r="B1452" s="14" t="str">
        <f aca="false">IF(A1452="","",Prices!C1452)</f>
        <v/>
      </c>
      <c r="C1452" s="15" t="str">
        <f aca="false">IF(A1452="","",IFERROR(INDEX(FX!$B:$B,MATCH(A1452,FX!$A:$A,1)),""))</f>
        <v/>
      </c>
      <c r="D1452" s="14" t="str">
        <f aca="false">IF(A1452="","",SUMIFS(Transactions!$D:$D,Transactions!$A:$A,"&lt;="&amp;A1452,Transactions!$B:$B,Settings!$B$1))</f>
        <v/>
      </c>
      <c r="E1452" s="14" t="str">
        <f aca="false">IF(A1452="","",SUMIFS(Transactions!$C:$C,Transactions!$A:$A,"&lt;="&amp;A1452,Transactions!$B:$B,Settings!$B$1)+SUMIFS(Transactions!$F:$F,Transactions!$A:$A,"&lt;="&amp;A1452,Transactions!$B:$B,Settings!$B$1))</f>
        <v/>
      </c>
      <c r="F1452" s="14" t="str">
        <f aca="false">IF(A1452="","",IF(C1452="","",D1452*B1452*C1452))</f>
        <v/>
      </c>
      <c r="G1452" s="14" t="str">
        <f aca="false">IF(F1452="","",F1452-E1452)</f>
        <v/>
      </c>
      <c r="H1452" s="14" t="str">
        <f aca="false">IF(F1452="","",IFERROR(F1452-F1451-(E1452-E1451),0))</f>
        <v/>
      </c>
    </row>
    <row r="1453" customFormat="false" ht="15" hidden="false" customHeight="false" outlineLevel="0" collapsed="false">
      <c r="A1453" s="13" t="str">
        <f aca="false">IF(Prices!A1453="","",Prices!A1453)</f>
        <v/>
      </c>
      <c r="B1453" s="14" t="str">
        <f aca="false">IF(A1453="","",Prices!C1453)</f>
        <v/>
      </c>
      <c r="C1453" s="15" t="str">
        <f aca="false">IF(A1453="","",IFERROR(INDEX(FX!$B:$B,MATCH(A1453,FX!$A:$A,1)),""))</f>
        <v/>
      </c>
      <c r="D1453" s="14" t="str">
        <f aca="false">IF(A1453="","",SUMIFS(Transactions!$D:$D,Transactions!$A:$A,"&lt;="&amp;A1453,Transactions!$B:$B,Settings!$B$1))</f>
        <v/>
      </c>
      <c r="E1453" s="14" t="str">
        <f aca="false">IF(A1453="","",SUMIFS(Transactions!$C:$C,Transactions!$A:$A,"&lt;="&amp;A1453,Transactions!$B:$B,Settings!$B$1)+SUMIFS(Transactions!$F:$F,Transactions!$A:$A,"&lt;="&amp;A1453,Transactions!$B:$B,Settings!$B$1))</f>
        <v/>
      </c>
      <c r="F1453" s="14" t="str">
        <f aca="false">IF(A1453="","",IF(C1453="","",D1453*B1453*C1453))</f>
        <v/>
      </c>
      <c r="G1453" s="14" t="str">
        <f aca="false">IF(F1453="","",F1453-E1453)</f>
        <v/>
      </c>
      <c r="H1453" s="14" t="str">
        <f aca="false">IF(F1453="","",IFERROR(F1453-F1452-(E1453-E1452),0))</f>
        <v/>
      </c>
    </row>
    <row r="1454" customFormat="false" ht="15" hidden="false" customHeight="false" outlineLevel="0" collapsed="false">
      <c r="A1454" s="13" t="str">
        <f aca="false">IF(Prices!A1454="","",Prices!A1454)</f>
        <v/>
      </c>
      <c r="B1454" s="14" t="str">
        <f aca="false">IF(A1454="","",Prices!C1454)</f>
        <v/>
      </c>
      <c r="C1454" s="15" t="str">
        <f aca="false">IF(A1454="","",IFERROR(INDEX(FX!$B:$B,MATCH(A1454,FX!$A:$A,1)),""))</f>
        <v/>
      </c>
      <c r="D1454" s="14" t="str">
        <f aca="false">IF(A1454="","",SUMIFS(Transactions!$D:$D,Transactions!$A:$A,"&lt;="&amp;A1454,Transactions!$B:$B,Settings!$B$1))</f>
        <v/>
      </c>
      <c r="E1454" s="14" t="str">
        <f aca="false">IF(A1454="","",SUMIFS(Transactions!$C:$C,Transactions!$A:$A,"&lt;="&amp;A1454,Transactions!$B:$B,Settings!$B$1)+SUMIFS(Transactions!$F:$F,Transactions!$A:$A,"&lt;="&amp;A1454,Transactions!$B:$B,Settings!$B$1))</f>
        <v/>
      </c>
      <c r="F1454" s="14" t="str">
        <f aca="false">IF(A1454="","",IF(C1454="","",D1454*B1454*C1454))</f>
        <v/>
      </c>
      <c r="G1454" s="14" t="str">
        <f aca="false">IF(F1454="","",F1454-E1454)</f>
        <v/>
      </c>
      <c r="H1454" s="14" t="str">
        <f aca="false">IF(F1454="","",IFERROR(F1454-F1453-(E1454-E1453),0))</f>
        <v/>
      </c>
    </row>
    <row r="1455" customFormat="false" ht="15" hidden="false" customHeight="false" outlineLevel="0" collapsed="false">
      <c r="A1455" s="13" t="str">
        <f aca="false">IF(Prices!A1455="","",Prices!A1455)</f>
        <v/>
      </c>
      <c r="B1455" s="14" t="str">
        <f aca="false">IF(A1455="","",Prices!C1455)</f>
        <v/>
      </c>
      <c r="C1455" s="15" t="str">
        <f aca="false">IF(A1455="","",IFERROR(INDEX(FX!$B:$B,MATCH(A1455,FX!$A:$A,1)),""))</f>
        <v/>
      </c>
      <c r="D1455" s="14" t="str">
        <f aca="false">IF(A1455="","",SUMIFS(Transactions!$D:$D,Transactions!$A:$A,"&lt;="&amp;A1455,Transactions!$B:$B,Settings!$B$1))</f>
        <v/>
      </c>
      <c r="E1455" s="14" t="str">
        <f aca="false">IF(A1455="","",SUMIFS(Transactions!$C:$C,Transactions!$A:$A,"&lt;="&amp;A1455,Transactions!$B:$B,Settings!$B$1)+SUMIFS(Transactions!$F:$F,Transactions!$A:$A,"&lt;="&amp;A1455,Transactions!$B:$B,Settings!$B$1))</f>
        <v/>
      </c>
      <c r="F1455" s="14" t="str">
        <f aca="false">IF(A1455="","",IF(C1455="","",D1455*B1455*C1455))</f>
        <v/>
      </c>
      <c r="G1455" s="14" t="str">
        <f aca="false">IF(F1455="","",F1455-E1455)</f>
        <v/>
      </c>
      <c r="H1455" s="14" t="str">
        <f aca="false">IF(F1455="","",IFERROR(F1455-F1454-(E1455-E1454),0))</f>
        <v/>
      </c>
    </row>
    <row r="1456" customFormat="false" ht="15" hidden="false" customHeight="false" outlineLevel="0" collapsed="false">
      <c r="A1456" s="13" t="str">
        <f aca="false">IF(Prices!A1456="","",Prices!A1456)</f>
        <v/>
      </c>
      <c r="B1456" s="14" t="str">
        <f aca="false">IF(A1456="","",Prices!C1456)</f>
        <v/>
      </c>
      <c r="C1456" s="15" t="str">
        <f aca="false">IF(A1456="","",IFERROR(INDEX(FX!$B:$B,MATCH(A1456,FX!$A:$A,1)),""))</f>
        <v/>
      </c>
      <c r="D1456" s="14" t="str">
        <f aca="false">IF(A1456="","",SUMIFS(Transactions!$D:$D,Transactions!$A:$A,"&lt;="&amp;A1456,Transactions!$B:$B,Settings!$B$1))</f>
        <v/>
      </c>
      <c r="E1456" s="14" t="str">
        <f aca="false">IF(A1456="","",SUMIFS(Transactions!$C:$C,Transactions!$A:$A,"&lt;="&amp;A1456,Transactions!$B:$B,Settings!$B$1)+SUMIFS(Transactions!$F:$F,Transactions!$A:$A,"&lt;="&amp;A1456,Transactions!$B:$B,Settings!$B$1))</f>
        <v/>
      </c>
      <c r="F1456" s="14" t="str">
        <f aca="false">IF(A1456="","",IF(C1456="","",D1456*B1456*C1456))</f>
        <v/>
      </c>
      <c r="G1456" s="14" t="str">
        <f aca="false">IF(F1456="","",F1456-E1456)</f>
        <v/>
      </c>
      <c r="H1456" s="14" t="str">
        <f aca="false">IF(F1456="","",IFERROR(F1456-F1455-(E1456-E1455),0))</f>
        <v/>
      </c>
    </row>
    <row r="1457" customFormat="false" ht="15" hidden="false" customHeight="false" outlineLevel="0" collapsed="false">
      <c r="A1457" s="13" t="str">
        <f aca="false">IF(Prices!A1457="","",Prices!A1457)</f>
        <v/>
      </c>
      <c r="B1457" s="14" t="str">
        <f aca="false">IF(A1457="","",Prices!C1457)</f>
        <v/>
      </c>
      <c r="C1457" s="15" t="str">
        <f aca="false">IF(A1457="","",IFERROR(INDEX(FX!$B:$B,MATCH(A1457,FX!$A:$A,1)),""))</f>
        <v/>
      </c>
      <c r="D1457" s="14" t="str">
        <f aca="false">IF(A1457="","",SUMIFS(Transactions!$D:$D,Transactions!$A:$A,"&lt;="&amp;A1457,Transactions!$B:$B,Settings!$B$1))</f>
        <v/>
      </c>
      <c r="E1457" s="14" t="str">
        <f aca="false">IF(A1457="","",SUMIFS(Transactions!$C:$C,Transactions!$A:$A,"&lt;="&amp;A1457,Transactions!$B:$B,Settings!$B$1)+SUMIFS(Transactions!$F:$F,Transactions!$A:$A,"&lt;="&amp;A1457,Transactions!$B:$B,Settings!$B$1))</f>
        <v/>
      </c>
      <c r="F1457" s="14" t="str">
        <f aca="false">IF(A1457="","",IF(C1457="","",D1457*B1457*C1457))</f>
        <v/>
      </c>
      <c r="G1457" s="14" t="str">
        <f aca="false">IF(F1457="","",F1457-E1457)</f>
        <v/>
      </c>
      <c r="H1457" s="14" t="str">
        <f aca="false">IF(F1457="","",IFERROR(F1457-F1456-(E1457-E1456),0))</f>
        <v/>
      </c>
    </row>
    <row r="1458" customFormat="false" ht="15" hidden="false" customHeight="false" outlineLevel="0" collapsed="false">
      <c r="A1458" s="13" t="str">
        <f aca="false">IF(Prices!A1458="","",Prices!A1458)</f>
        <v/>
      </c>
      <c r="B1458" s="14" t="str">
        <f aca="false">IF(A1458="","",Prices!C1458)</f>
        <v/>
      </c>
      <c r="C1458" s="15" t="str">
        <f aca="false">IF(A1458="","",IFERROR(INDEX(FX!$B:$B,MATCH(A1458,FX!$A:$A,1)),""))</f>
        <v/>
      </c>
      <c r="D1458" s="14" t="str">
        <f aca="false">IF(A1458="","",SUMIFS(Transactions!$D:$D,Transactions!$A:$A,"&lt;="&amp;A1458,Transactions!$B:$B,Settings!$B$1))</f>
        <v/>
      </c>
      <c r="E1458" s="14" t="str">
        <f aca="false">IF(A1458="","",SUMIFS(Transactions!$C:$C,Transactions!$A:$A,"&lt;="&amp;A1458,Transactions!$B:$B,Settings!$B$1)+SUMIFS(Transactions!$F:$F,Transactions!$A:$A,"&lt;="&amp;A1458,Transactions!$B:$B,Settings!$B$1))</f>
        <v/>
      </c>
      <c r="F1458" s="14" t="str">
        <f aca="false">IF(A1458="","",IF(C1458="","",D1458*B1458*C1458))</f>
        <v/>
      </c>
      <c r="G1458" s="14" t="str">
        <f aca="false">IF(F1458="","",F1458-E1458)</f>
        <v/>
      </c>
      <c r="H1458" s="14" t="str">
        <f aca="false">IF(F1458="","",IFERROR(F1458-F1457-(E1458-E1457),0))</f>
        <v/>
      </c>
    </row>
    <row r="1459" customFormat="false" ht="15" hidden="false" customHeight="false" outlineLevel="0" collapsed="false">
      <c r="A1459" s="13" t="str">
        <f aca="false">IF(Prices!A1459="","",Prices!A1459)</f>
        <v/>
      </c>
      <c r="B1459" s="14" t="str">
        <f aca="false">IF(A1459="","",Prices!C1459)</f>
        <v/>
      </c>
      <c r="C1459" s="15" t="str">
        <f aca="false">IF(A1459="","",IFERROR(INDEX(FX!$B:$B,MATCH(A1459,FX!$A:$A,1)),""))</f>
        <v/>
      </c>
      <c r="D1459" s="14" t="str">
        <f aca="false">IF(A1459="","",SUMIFS(Transactions!$D:$D,Transactions!$A:$A,"&lt;="&amp;A1459,Transactions!$B:$B,Settings!$B$1))</f>
        <v/>
      </c>
      <c r="E1459" s="14" t="str">
        <f aca="false">IF(A1459="","",SUMIFS(Transactions!$C:$C,Transactions!$A:$A,"&lt;="&amp;A1459,Transactions!$B:$B,Settings!$B$1)+SUMIFS(Transactions!$F:$F,Transactions!$A:$A,"&lt;="&amp;A1459,Transactions!$B:$B,Settings!$B$1))</f>
        <v/>
      </c>
      <c r="F1459" s="14" t="str">
        <f aca="false">IF(A1459="","",IF(C1459="","",D1459*B1459*C1459))</f>
        <v/>
      </c>
      <c r="G1459" s="14" t="str">
        <f aca="false">IF(F1459="","",F1459-E1459)</f>
        <v/>
      </c>
      <c r="H1459" s="14" t="str">
        <f aca="false">IF(F1459="","",IFERROR(F1459-F1458-(E1459-E1458),0))</f>
        <v/>
      </c>
    </row>
    <row r="1460" customFormat="false" ht="15" hidden="false" customHeight="false" outlineLevel="0" collapsed="false">
      <c r="A1460" s="13" t="str">
        <f aca="false">IF(Prices!A1460="","",Prices!A1460)</f>
        <v/>
      </c>
      <c r="B1460" s="14" t="str">
        <f aca="false">IF(A1460="","",Prices!C1460)</f>
        <v/>
      </c>
      <c r="C1460" s="15" t="str">
        <f aca="false">IF(A1460="","",IFERROR(INDEX(FX!$B:$B,MATCH(A1460,FX!$A:$A,1)),""))</f>
        <v/>
      </c>
      <c r="D1460" s="14" t="str">
        <f aca="false">IF(A1460="","",SUMIFS(Transactions!$D:$D,Transactions!$A:$A,"&lt;="&amp;A1460,Transactions!$B:$B,Settings!$B$1))</f>
        <v/>
      </c>
      <c r="E1460" s="14" t="str">
        <f aca="false">IF(A1460="","",SUMIFS(Transactions!$C:$C,Transactions!$A:$A,"&lt;="&amp;A1460,Transactions!$B:$B,Settings!$B$1)+SUMIFS(Transactions!$F:$F,Transactions!$A:$A,"&lt;="&amp;A1460,Transactions!$B:$B,Settings!$B$1))</f>
        <v/>
      </c>
      <c r="F1460" s="14" t="str">
        <f aca="false">IF(A1460="","",IF(C1460="","",D1460*B1460*C1460))</f>
        <v/>
      </c>
      <c r="G1460" s="14" t="str">
        <f aca="false">IF(F1460="","",F1460-E1460)</f>
        <v/>
      </c>
      <c r="H1460" s="14" t="str">
        <f aca="false">IF(F1460="","",IFERROR(F1460-F1459-(E1460-E1459),0))</f>
        <v/>
      </c>
    </row>
    <row r="1461" customFormat="false" ht="15" hidden="false" customHeight="false" outlineLevel="0" collapsed="false">
      <c r="A1461" s="13" t="str">
        <f aca="false">IF(Prices!A1461="","",Prices!A1461)</f>
        <v/>
      </c>
      <c r="B1461" s="14" t="str">
        <f aca="false">IF(A1461="","",Prices!C1461)</f>
        <v/>
      </c>
      <c r="C1461" s="15" t="str">
        <f aca="false">IF(A1461="","",IFERROR(INDEX(FX!$B:$B,MATCH(A1461,FX!$A:$A,1)),""))</f>
        <v/>
      </c>
      <c r="D1461" s="14" t="str">
        <f aca="false">IF(A1461="","",SUMIFS(Transactions!$D:$D,Transactions!$A:$A,"&lt;="&amp;A1461,Transactions!$B:$B,Settings!$B$1))</f>
        <v/>
      </c>
      <c r="E1461" s="14" t="str">
        <f aca="false">IF(A1461="","",SUMIFS(Transactions!$C:$C,Transactions!$A:$A,"&lt;="&amp;A1461,Transactions!$B:$B,Settings!$B$1)+SUMIFS(Transactions!$F:$F,Transactions!$A:$A,"&lt;="&amp;A1461,Transactions!$B:$B,Settings!$B$1))</f>
        <v/>
      </c>
      <c r="F1461" s="14" t="str">
        <f aca="false">IF(A1461="","",IF(C1461="","",D1461*B1461*C1461))</f>
        <v/>
      </c>
      <c r="G1461" s="14" t="str">
        <f aca="false">IF(F1461="","",F1461-E1461)</f>
        <v/>
      </c>
      <c r="H1461" s="14" t="str">
        <f aca="false">IF(F1461="","",IFERROR(F1461-F1460-(E1461-E1460),0))</f>
        <v/>
      </c>
    </row>
    <row r="1462" customFormat="false" ht="15" hidden="false" customHeight="false" outlineLevel="0" collapsed="false">
      <c r="A1462" s="13" t="str">
        <f aca="false">IF(Prices!A1462="","",Prices!A1462)</f>
        <v/>
      </c>
      <c r="B1462" s="14" t="str">
        <f aca="false">IF(A1462="","",Prices!C1462)</f>
        <v/>
      </c>
      <c r="C1462" s="15" t="str">
        <f aca="false">IF(A1462="","",IFERROR(INDEX(FX!$B:$B,MATCH(A1462,FX!$A:$A,1)),""))</f>
        <v/>
      </c>
      <c r="D1462" s="14" t="str">
        <f aca="false">IF(A1462="","",SUMIFS(Transactions!$D:$D,Transactions!$A:$A,"&lt;="&amp;A1462,Transactions!$B:$B,Settings!$B$1))</f>
        <v/>
      </c>
      <c r="E1462" s="14" t="str">
        <f aca="false">IF(A1462="","",SUMIFS(Transactions!$C:$C,Transactions!$A:$A,"&lt;="&amp;A1462,Transactions!$B:$B,Settings!$B$1)+SUMIFS(Transactions!$F:$F,Transactions!$A:$A,"&lt;="&amp;A1462,Transactions!$B:$B,Settings!$B$1))</f>
        <v/>
      </c>
      <c r="F1462" s="14" t="str">
        <f aca="false">IF(A1462="","",IF(C1462="","",D1462*B1462*C1462))</f>
        <v/>
      </c>
      <c r="G1462" s="14" t="str">
        <f aca="false">IF(F1462="","",F1462-E1462)</f>
        <v/>
      </c>
      <c r="H1462" s="14" t="str">
        <f aca="false">IF(F1462="","",IFERROR(F1462-F1461-(E1462-E1461),0))</f>
        <v/>
      </c>
    </row>
    <row r="1463" customFormat="false" ht="15" hidden="false" customHeight="false" outlineLevel="0" collapsed="false">
      <c r="A1463" s="13" t="str">
        <f aca="false">IF(Prices!A1463="","",Prices!A1463)</f>
        <v/>
      </c>
      <c r="B1463" s="14" t="str">
        <f aca="false">IF(A1463="","",Prices!C1463)</f>
        <v/>
      </c>
      <c r="C1463" s="15" t="str">
        <f aca="false">IF(A1463="","",IFERROR(INDEX(FX!$B:$B,MATCH(A1463,FX!$A:$A,1)),""))</f>
        <v/>
      </c>
      <c r="D1463" s="14" t="str">
        <f aca="false">IF(A1463="","",SUMIFS(Transactions!$D:$D,Transactions!$A:$A,"&lt;="&amp;A1463,Transactions!$B:$B,Settings!$B$1))</f>
        <v/>
      </c>
      <c r="E1463" s="14" t="str">
        <f aca="false">IF(A1463="","",SUMIFS(Transactions!$C:$C,Transactions!$A:$A,"&lt;="&amp;A1463,Transactions!$B:$B,Settings!$B$1)+SUMIFS(Transactions!$F:$F,Transactions!$A:$A,"&lt;="&amp;A1463,Transactions!$B:$B,Settings!$B$1))</f>
        <v/>
      </c>
      <c r="F1463" s="14" t="str">
        <f aca="false">IF(A1463="","",IF(C1463="","",D1463*B1463*C1463))</f>
        <v/>
      </c>
      <c r="G1463" s="14" t="str">
        <f aca="false">IF(F1463="","",F1463-E1463)</f>
        <v/>
      </c>
      <c r="H1463" s="14" t="str">
        <f aca="false">IF(F1463="","",IFERROR(F1463-F1462-(E1463-E1462),0))</f>
        <v/>
      </c>
    </row>
    <row r="1464" customFormat="false" ht="15" hidden="false" customHeight="false" outlineLevel="0" collapsed="false">
      <c r="A1464" s="13" t="str">
        <f aca="false">IF(Prices!A1464="","",Prices!A1464)</f>
        <v/>
      </c>
      <c r="B1464" s="14" t="str">
        <f aca="false">IF(A1464="","",Prices!C1464)</f>
        <v/>
      </c>
      <c r="C1464" s="15" t="str">
        <f aca="false">IF(A1464="","",IFERROR(INDEX(FX!$B:$B,MATCH(A1464,FX!$A:$A,1)),""))</f>
        <v/>
      </c>
      <c r="D1464" s="14" t="str">
        <f aca="false">IF(A1464="","",SUMIFS(Transactions!$D:$D,Transactions!$A:$A,"&lt;="&amp;A1464,Transactions!$B:$B,Settings!$B$1))</f>
        <v/>
      </c>
      <c r="E1464" s="14" t="str">
        <f aca="false">IF(A1464="","",SUMIFS(Transactions!$C:$C,Transactions!$A:$A,"&lt;="&amp;A1464,Transactions!$B:$B,Settings!$B$1)+SUMIFS(Transactions!$F:$F,Transactions!$A:$A,"&lt;="&amp;A1464,Transactions!$B:$B,Settings!$B$1))</f>
        <v/>
      </c>
      <c r="F1464" s="14" t="str">
        <f aca="false">IF(A1464="","",IF(C1464="","",D1464*B1464*C1464))</f>
        <v/>
      </c>
      <c r="G1464" s="14" t="str">
        <f aca="false">IF(F1464="","",F1464-E1464)</f>
        <v/>
      </c>
      <c r="H1464" s="14" t="str">
        <f aca="false">IF(F1464="","",IFERROR(F1464-F1463-(E1464-E1463),0))</f>
        <v/>
      </c>
    </row>
    <row r="1465" customFormat="false" ht="15" hidden="false" customHeight="false" outlineLevel="0" collapsed="false">
      <c r="A1465" s="13" t="str">
        <f aca="false">IF(Prices!A1465="","",Prices!A1465)</f>
        <v/>
      </c>
      <c r="B1465" s="14" t="str">
        <f aca="false">IF(A1465="","",Prices!C1465)</f>
        <v/>
      </c>
      <c r="C1465" s="15" t="str">
        <f aca="false">IF(A1465="","",IFERROR(INDEX(FX!$B:$B,MATCH(A1465,FX!$A:$A,1)),""))</f>
        <v/>
      </c>
      <c r="D1465" s="14" t="str">
        <f aca="false">IF(A1465="","",SUMIFS(Transactions!$D:$D,Transactions!$A:$A,"&lt;="&amp;A1465,Transactions!$B:$B,Settings!$B$1))</f>
        <v/>
      </c>
      <c r="E1465" s="14" t="str">
        <f aca="false">IF(A1465="","",SUMIFS(Transactions!$C:$C,Transactions!$A:$A,"&lt;="&amp;A1465,Transactions!$B:$B,Settings!$B$1)+SUMIFS(Transactions!$F:$F,Transactions!$A:$A,"&lt;="&amp;A1465,Transactions!$B:$B,Settings!$B$1))</f>
        <v/>
      </c>
      <c r="F1465" s="14" t="str">
        <f aca="false">IF(A1465="","",IF(C1465="","",D1465*B1465*C1465))</f>
        <v/>
      </c>
      <c r="G1465" s="14" t="str">
        <f aca="false">IF(F1465="","",F1465-E1465)</f>
        <v/>
      </c>
      <c r="H1465" s="14" t="str">
        <f aca="false">IF(F1465="","",IFERROR(F1465-F1464-(E1465-E1464),0))</f>
        <v/>
      </c>
    </row>
    <row r="1466" customFormat="false" ht="15" hidden="false" customHeight="false" outlineLevel="0" collapsed="false">
      <c r="A1466" s="13" t="str">
        <f aca="false">IF(Prices!A1466="","",Prices!A1466)</f>
        <v/>
      </c>
      <c r="B1466" s="14" t="str">
        <f aca="false">IF(A1466="","",Prices!C1466)</f>
        <v/>
      </c>
      <c r="C1466" s="15" t="str">
        <f aca="false">IF(A1466="","",IFERROR(INDEX(FX!$B:$B,MATCH(A1466,FX!$A:$A,1)),""))</f>
        <v/>
      </c>
      <c r="D1466" s="14" t="str">
        <f aca="false">IF(A1466="","",SUMIFS(Transactions!$D:$D,Transactions!$A:$A,"&lt;="&amp;A1466,Transactions!$B:$B,Settings!$B$1))</f>
        <v/>
      </c>
      <c r="E1466" s="14" t="str">
        <f aca="false">IF(A1466="","",SUMIFS(Transactions!$C:$C,Transactions!$A:$A,"&lt;="&amp;A1466,Transactions!$B:$B,Settings!$B$1)+SUMIFS(Transactions!$F:$F,Transactions!$A:$A,"&lt;="&amp;A1466,Transactions!$B:$B,Settings!$B$1))</f>
        <v/>
      </c>
      <c r="F1466" s="14" t="str">
        <f aca="false">IF(A1466="","",IF(C1466="","",D1466*B1466*C1466))</f>
        <v/>
      </c>
      <c r="G1466" s="14" t="str">
        <f aca="false">IF(F1466="","",F1466-E1466)</f>
        <v/>
      </c>
      <c r="H1466" s="14" t="str">
        <f aca="false">IF(F1466="","",IFERROR(F1466-F1465-(E1466-E1465),0))</f>
        <v/>
      </c>
    </row>
    <row r="1467" customFormat="false" ht="15" hidden="false" customHeight="false" outlineLevel="0" collapsed="false">
      <c r="A1467" s="13" t="str">
        <f aca="false">IF(Prices!A1467="","",Prices!A1467)</f>
        <v/>
      </c>
      <c r="B1467" s="14" t="str">
        <f aca="false">IF(A1467="","",Prices!C1467)</f>
        <v/>
      </c>
      <c r="C1467" s="15" t="str">
        <f aca="false">IF(A1467="","",IFERROR(INDEX(FX!$B:$B,MATCH(A1467,FX!$A:$A,1)),""))</f>
        <v/>
      </c>
      <c r="D1467" s="14" t="str">
        <f aca="false">IF(A1467="","",SUMIFS(Transactions!$D:$D,Transactions!$A:$A,"&lt;="&amp;A1467,Transactions!$B:$B,Settings!$B$1))</f>
        <v/>
      </c>
      <c r="E1467" s="14" t="str">
        <f aca="false">IF(A1467="","",SUMIFS(Transactions!$C:$C,Transactions!$A:$A,"&lt;="&amp;A1467,Transactions!$B:$B,Settings!$B$1)+SUMIFS(Transactions!$F:$F,Transactions!$A:$A,"&lt;="&amp;A1467,Transactions!$B:$B,Settings!$B$1))</f>
        <v/>
      </c>
      <c r="F1467" s="14" t="str">
        <f aca="false">IF(A1467="","",IF(C1467="","",D1467*B1467*C1467))</f>
        <v/>
      </c>
      <c r="G1467" s="14" t="str">
        <f aca="false">IF(F1467="","",F1467-E1467)</f>
        <v/>
      </c>
      <c r="H1467" s="14" t="str">
        <f aca="false">IF(F1467="","",IFERROR(F1467-F1466-(E1467-E1466),0))</f>
        <v/>
      </c>
    </row>
    <row r="1468" customFormat="false" ht="15" hidden="false" customHeight="false" outlineLevel="0" collapsed="false">
      <c r="A1468" s="13" t="str">
        <f aca="false">IF(Prices!A1468="","",Prices!A1468)</f>
        <v/>
      </c>
      <c r="B1468" s="14" t="str">
        <f aca="false">IF(A1468="","",Prices!C1468)</f>
        <v/>
      </c>
      <c r="C1468" s="15" t="str">
        <f aca="false">IF(A1468="","",IFERROR(INDEX(FX!$B:$B,MATCH(A1468,FX!$A:$A,1)),""))</f>
        <v/>
      </c>
      <c r="D1468" s="14" t="str">
        <f aca="false">IF(A1468="","",SUMIFS(Transactions!$D:$D,Transactions!$A:$A,"&lt;="&amp;A1468,Transactions!$B:$B,Settings!$B$1))</f>
        <v/>
      </c>
      <c r="E1468" s="14" t="str">
        <f aca="false">IF(A1468="","",SUMIFS(Transactions!$C:$C,Transactions!$A:$A,"&lt;="&amp;A1468,Transactions!$B:$B,Settings!$B$1)+SUMIFS(Transactions!$F:$F,Transactions!$A:$A,"&lt;="&amp;A1468,Transactions!$B:$B,Settings!$B$1))</f>
        <v/>
      </c>
      <c r="F1468" s="14" t="str">
        <f aca="false">IF(A1468="","",IF(C1468="","",D1468*B1468*C1468))</f>
        <v/>
      </c>
      <c r="G1468" s="14" t="str">
        <f aca="false">IF(F1468="","",F1468-E1468)</f>
        <v/>
      </c>
      <c r="H1468" s="14" t="str">
        <f aca="false">IF(F1468="","",IFERROR(F1468-F1467-(E1468-E1467),0))</f>
        <v/>
      </c>
    </row>
    <row r="1469" customFormat="false" ht="15" hidden="false" customHeight="false" outlineLevel="0" collapsed="false">
      <c r="A1469" s="13" t="str">
        <f aca="false">IF(Prices!A1469="","",Prices!A1469)</f>
        <v/>
      </c>
      <c r="B1469" s="14" t="str">
        <f aca="false">IF(A1469="","",Prices!C1469)</f>
        <v/>
      </c>
      <c r="C1469" s="15" t="str">
        <f aca="false">IF(A1469="","",IFERROR(INDEX(FX!$B:$B,MATCH(A1469,FX!$A:$A,1)),""))</f>
        <v/>
      </c>
      <c r="D1469" s="14" t="str">
        <f aca="false">IF(A1469="","",SUMIFS(Transactions!$D:$D,Transactions!$A:$A,"&lt;="&amp;A1469,Transactions!$B:$B,Settings!$B$1))</f>
        <v/>
      </c>
      <c r="E1469" s="14" t="str">
        <f aca="false">IF(A1469="","",SUMIFS(Transactions!$C:$C,Transactions!$A:$A,"&lt;="&amp;A1469,Transactions!$B:$B,Settings!$B$1)+SUMIFS(Transactions!$F:$F,Transactions!$A:$A,"&lt;="&amp;A1469,Transactions!$B:$B,Settings!$B$1))</f>
        <v/>
      </c>
      <c r="F1469" s="14" t="str">
        <f aca="false">IF(A1469="","",IF(C1469="","",D1469*B1469*C1469))</f>
        <v/>
      </c>
      <c r="G1469" s="14" t="str">
        <f aca="false">IF(F1469="","",F1469-E1469)</f>
        <v/>
      </c>
      <c r="H1469" s="14" t="str">
        <f aca="false">IF(F1469="","",IFERROR(F1469-F1468-(E1469-E1468),0))</f>
        <v/>
      </c>
    </row>
    <row r="1470" customFormat="false" ht="15" hidden="false" customHeight="false" outlineLevel="0" collapsed="false">
      <c r="A1470" s="13" t="str">
        <f aca="false">IF(Prices!A1470="","",Prices!A1470)</f>
        <v/>
      </c>
      <c r="B1470" s="14" t="str">
        <f aca="false">IF(A1470="","",Prices!C1470)</f>
        <v/>
      </c>
      <c r="C1470" s="15" t="str">
        <f aca="false">IF(A1470="","",IFERROR(INDEX(FX!$B:$B,MATCH(A1470,FX!$A:$A,1)),""))</f>
        <v/>
      </c>
      <c r="D1470" s="14" t="str">
        <f aca="false">IF(A1470="","",SUMIFS(Transactions!$D:$D,Transactions!$A:$A,"&lt;="&amp;A1470,Transactions!$B:$B,Settings!$B$1))</f>
        <v/>
      </c>
      <c r="E1470" s="14" t="str">
        <f aca="false">IF(A1470="","",SUMIFS(Transactions!$C:$C,Transactions!$A:$A,"&lt;="&amp;A1470,Transactions!$B:$B,Settings!$B$1)+SUMIFS(Transactions!$F:$F,Transactions!$A:$A,"&lt;="&amp;A1470,Transactions!$B:$B,Settings!$B$1))</f>
        <v/>
      </c>
      <c r="F1470" s="14" t="str">
        <f aca="false">IF(A1470="","",IF(C1470="","",D1470*B1470*C1470))</f>
        <v/>
      </c>
      <c r="G1470" s="14" t="str">
        <f aca="false">IF(F1470="","",F1470-E1470)</f>
        <v/>
      </c>
      <c r="H1470" s="14" t="str">
        <f aca="false">IF(F1470="","",IFERROR(F1470-F1469-(E1470-E1469),0))</f>
        <v/>
      </c>
    </row>
    <row r="1471" customFormat="false" ht="15" hidden="false" customHeight="false" outlineLevel="0" collapsed="false">
      <c r="A1471" s="13" t="str">
        <f aca="false">IF(Prices!A1471="","",Prices!A1471)</f>
        <v/>
      </c>
      <c r="B1471" s="14" t="str">
        <f aca="false">IF(A1471="","",Prices!C1471)</f>
        <v/>
      </c>
      <c r="C1471" s="15" t="str">
        <f aca="false">IF(A1471="","",IFERROR(INDEX(FX!$B:$B,MATCH(A1471,FX!$A:$A,1)),""))</f>
        <v/>
      </c>
      <c r="D1471" s="14" t="str">
        <f aca="false">IF(A1471="","",SUMIFS(Transactions!$D:$D,Transactions!$A:$A,"&lt;="&amp;A1471,Transactions!$B:$B,Settings!$B$1))</f>
        <v/>
      </c>
      <c r="E1471" s="14" t="str">
        <f aca="false">IF(A1471="","",SUMIFS(Transactions!$C:$C,Transactions!$A:$A,"&lt;="&amp;A1471,Transactions!$B:$B,Settings!$B$1)+SUMIFS(Transactions!$F:$F,Transactions!$A:$A,"&lt;="&amp;A1471,Transactions!$B:$B,Settings!$B$1))</f>
        <v/>
      </c>
      <c r="F1471" s="14" t="str">
        <f aca="false">IF(A1471="","",IF(C1471="","",D1471*B1471*C1471))</f>
        <v/>
      </c>
      <c r="G1471" s="14" t="str">
        <f aca="false">IF(F1471="","",F1471-E1471)</f>
        <v/>
      </c>
      <c r="H1471" s="14" t="str">
        <f aca="false">IF(F1471="","",IFERROR(F1471-F1470-(E1471-E1470),0))</f>
        <v/>
      </c>
    </row>
    <row r="1472" customFormat="false" ht="15" hidden="false" customHeight="false" outlineLevel="0" collapsed="false">
      <c r="A1472" s="13" t="str">
        <f aca="false">IF(Prices!A1472="","",Prices!A1472)</f>
        <v/>
      </c>
      <c r="B1472" s="14" t="str">
        <f aca="false">IF(A1472="","",Prices!C1472)</f>
        <v/>
      </c>
      <c r="C1472" s="15" t="str">
        <f aca="false">IF(A1472="","",IFERROR(INDEX(FX!$B:$B,MATCH(A1472,FX!$A:$A,1)),""))</f>
        <v/>
      </c>
      <c r="D1472" s="14" t="str">
        <f aca="false">IF(A1472="","",SUMIFS(Transactions!$D:$D,Transactions!$A:$A,"&lt;="&amp;A1472,Transactions!$B:$B,Settings!$B$1))</f>
        <v/>
      </c>
      <c r="E1472" s="14" t="str">
        <f aca="false">IF(A1472="","",SUMIFS(Transactions!$C:$C,Transactions!$A:$A,"&lt;="&amp;A1472,Transactions!$B:$B,Settings!$B$1)+SUMIFS(Transactions!$F:$F,Transactions!$A:$A,"&lt;="&amp;A1472,Transactions!$B:$B,Settings!$B$1))</f>
        <v/>
      </c>
      <c r="F1472" s="14" t="str">
        <f aca="false">IF(A1472="","",IF(C1472="","",D1472*B1472*C1472))</f>
        <v/>
      </c>
      <c r="G1472" s="14" t="str">
        <f aca="false">IF(F1472="","",F1472-E1472)</f>
        <v/>
      </c>
      <c r="H1472" s="14" t="str">
        <f aca="false">IF(F1472="","",IFERROR(F1472-F1471-(E1472-E1471),0))</f>
        <v/>
      </c>
    </row>
    <row r="1473" customFormat="false" ht="15" hidden="false" customHeight="false" outlineLevel="0" collapsed="false">
      <c r="A1473" s="13" t="str">
        <f aca="false">IF(Prices!A1473="","",Prices!A1473)</f>
        <v/>
      </c>
      <c r="B1473" s="14" t="str">
        <f aca="false">IF(A1473="","",Prices!C1473)</f>
        <v/>
      </c>
      <c r="C1473" s="15" t="str">
        <f aca="false">IF(A1473="","",IFERROR(INDEX(FX!$B:$B,MATCH(A1473,FX!$A:$A,1)),""))</f>
        <v/>
      </c>
      <c r="D1473" s="14" t="str">
        <f aca="false">IF(A1473="","",SUMIFS(Transactions!$D:$D,Transactions!$A:$A,"&lt;="&amp;A1473,Transactions!$B:$B,Settings!$B$1))</f>
        <v/>
      </c>
      <c r="E1473" s="14" t="str">
        <f aca="false">IF(A1473="","",SUMIFS(Transactions!$C:$C,Transactions!$A:$A,"&lt;="&amp;A1473,Transactions!$B:$B,Settings!$B$1)+SUMIFS(Transactions!$F:$F,Transactions!$A:$A,"&lt;="&amp;A1473,Transactions!$B:$B,Settings!$B$1))</f>
        <v/>
      </c>
      <c r="F1473" s="14" t="str">
        <f aca="false">IF(A1473="","",IF(C1473="","",D1473*B1473*C1473))</f>
        <v/>
      </c>
      <c r="G1473" s="14" t="str">
        <f aca="false">IF(F1473="","",F1473-E1473)</f>
        <v/>
      </c>
      <c r="H1473" s="14" t="str">
        <f aca="false">IF(F1473="","",IFERROR(F1473-F1472-(E1473-E1472),0))</f>
        <v/>
      </c>
    </row>
    <row r="1474" customFormat="false" ht="15" hidden="false" customHeight="false" outlineLevel="0" collapsed="false">
      <c r="A1474" s="13" t="str">
        <f aca="false">IF(Prices!A1474="","",Prices!A1474)</f>
        <v/>
      </c>
      <c r="B1474" s="14" t="str">
        <f aca="false">IF(A1474="","",Prices!C1474)</f>
        <v/>
      </c>
      <c r="C1474" s="15" t="str">
        <f aca="false">IF(A1474="","",IFERROR(INDEX(FX!$B:$B,MATCH(A1474,FX!$A:$A,1)),""))</f>
        <v/>
      </c>
      <c r="D1474" s="14" t="str">
        <f aca="false">IF(A1474="","",SUMIFS(Transactions!$D:$D,Transactions!$A:$A,"&lt;="&amp;A1474,Transactions!$B:$B,Settings!$B$1))</f>
        <v/>
      </c>
      <c r="E1474" s="14" t="str">
        <f aca="false">IF(A1474="","",SUMIFS(Transactions!$C:$C,Transactions!$A:$A,"&lt;="&amp;A1474,Transactions!$B:$B,Settings!$B$1)+SUMIFS(Transactions!$F:$F,Transactions!$A:$A,"&lt;="&amp;A1474,Transactions!$B:$B,Settings!$B$1))</f>
        <v/>
      </c>
      <c r="F1474" s="14" t="str">
        <f aca="false">IF(A1474="","",IF(C1474="","",D1474*B1474*C1474))</f>
        <v/>
      </c>
      <c r="G1474" s="14" t="str">
        <f aca="false">IF(F1474="","",F1474-E1474)</f>
        <v/>
      </c>
      <c r="H1474" s="14" t="str">
        <f aca="false">IF(F1474="","",IFERROR(F1474-F1473-(E1474-E1473),0))</f>
        <v/>
      </c>
    </row>
    <row r="1475" customFormat="false" ht="15" hidden="false" customHeight="false" outlineLevel="0" collapsed="false">
      <c r="A1475" s="13" t="str">
        <f aca="false">IF(Prices!A1475="","",Prices!A1475)</f>
        <v/>
      </c>
      <c r="B1475" s="14" t="str">
        <f aca="false">IF(A1475="","",Prices!C1475)</f>
        <v/>
      </c>
      <c r="C1475" s="15" t="str">
        <f aca="false">IF(A1475="","",IFERROR(INDEX(FX!$B:$B,MATCH(A1475,FX!$A:$A,1)),""))</f>
        <v/>
      </c>
      <c r="D1475" s="14" t="str">
        <f aca="false">IF(A1475="","",SUMIFS(Transactions!$D:$D,Transactions!$A:$A,"&lt;="&amp;A1475,Transactions!$B:$B,Settings!$B$1))</f>
        <v/>
      </c>
      <c r="E1475" s="14" t="str">
        <f aca="false">IF(A1475="","",SUMIFS(Transactions!$C:$C,Transactions!$A:$A,"&lt;="&amp;A1475,Transactions!$B:$B,Settings!$B$1)+SUMIFS(Transactions!$F:$F,Transactions!$A:$A,"&lt;="&amp;A1475,Transactions!$B:$B,Settings!$B$1))</f>
        <v/>
      </c>
      <c r="F1475" s="14" t="str">
        <f aca="false">IF(A1475="","",IF(C1475="","",D1475*B1475*C1475))</f>
        <v/>
      </c>
      <c r="G1475" s="14" t="str">
        <f aca="false">IF(F1475="","",F1475-E1475)</f>
        <v/>
      </c>
      <c r="H1475" s="14" t="str">
        <f aca="false">IF(F1475="","",IFERROR(F1475-F1474-(E1475-E1474),0))</f>
        <v/>
      </c>
    </row>
    <row r="1476" customFormat="false" ht="15" hidden="false" customHeight="false" outlineLevel="0" collapsed="false">
      <c r="A1476" s="13" t="str">
        <f aca="false">IF(Prices!A1476="","",Prices!A1476)</f>
        <v/>
      </c>
      <c r="B1476" s="14" t="str">
        <f aca="false">IF(A1476="","",Prices!C1476)</f>
        <v/>
      </c>
      <c r="C1476" s="15" t="str">
        <f aca="false">IF(A1476="","",IFERROR(INDEX(FX!$B:$B,MATCH(A1476,FX!$A:$A,1)),""))</f>
        <v/>
      </c>
      <c r="D1476" s="14" t="str">
        <f aca="false">IF(A1476="","",SUMIFS(Transactions!$D:$D,Transactions!$A:$A,"&lt;="&amp;A1476,Transactions!$B:$B,Settings!$B$1))</f>
        <v/>
      </c>
      <c r="E1476" s="14" t="str">
        <f aca="false">IF(A1476="","",SUMIFS(Transactions!$C:$C,Transactions!$A:$A,"&lt;="&amp;A1476,Transactions!$B:$B,Settings!$B$1)+SUMIFS(Transactions!$F:$F,Transactions!$A:$A,"&lt;="&amp;A1476,Transactions!$B:$B,Settings!$B$1))</f>
        <v/>
      </c>
      <c r="F1476" s="14" t="str">
        <f aca="false">IF(A1476="","",IF(C1476="","",D1476*B1476*C1476))</f>
        <v/>
      </c>
      <c r="G1476" s="14" t="str">
        <f aca="false">IF(F1476="","",F1476-E1476)</f>
        <v/>
      </c>
      <c r="H1476" s="14" t="str">
        <f aca="false">IF(F1476="","",IFERROR(F1476-F1475-(E1476-E1475),0))</f>
        <v/>
      </c>
    </row>
    <row r="1477" customFormat="false" ht="15" hidden="false" customHeight="false" outlineLevel="0" collapsed="false">
      <c r="A1477" s="13" t="str">
        <f aca="false">IF(Prices!A1477="","",Prices!A1477)</f>
        <v/>
      </c>
      <c r="B1477" s="14" t="str">
        <f aca="false">IF(A1477="","",Prices!C1477)</f>
        <v/>
      </c>
      <c r="C1477" s="15" t="str">
        <f aca="false">IF(A1477="","",IFERROR(INDEX(FX!$B:$B,MATCH(A1477,FX!$A:$A,1)),""))</f>
        <v/>
      </c>
      <c r="D1477" s="14" t="str">
        <f aca="false">IF(A1477="","",SUMIFS(Transactions!$D:$D,Transactions!$A:$A,"&lt;="&amp;A1477,Transactions!$B:$B,Settings!$B$1))</f>
        <v/>
      </c>
      <c r="E1477" s="14" t="str">
        <f aca="false">IF(A1477="","",SUMIFS(Transactions!$C:$C,Transactions!$A:$A,"&lt;="&amp;A1477,Transactions!$B:$B,Settings!$B$1)+SUMIFS(Transactions!$F:$F,Transactions!$A:$A,"&lt;="&amp;A1477,Transactions!$B:$B,Settings!$B$1))</f>
        <v/>
      </c>
      <c r="F1477" s="14" t="str">
        <f aca="false">IF(A1477="","",IF(C1477="","",D1477*B1477*C1477))</f>
        <v/>
      </c>
      <c r="G1477" s="14" t="str">
        <f aca="false">IF(F1477="","",F1477-E1477)</f>
        <v/>
      </c>
      <c r="H1477" s="14" t="str">
        <f aca="false">IF(F1477="","",IFERROR(F1477-F1476-(E1477-E1476),0))</f>
        <v/>
      </c>
    </row>
    <row r="1478" customFormat="false" ht="15" hidden="false" customHeight="false" outlineLevel="0" collapsed="false">
      <c r="A1478" s="13" t="str">
        <f aca="false">IF(Prices!A1478="","",Prices!A1478)</f>
        <v/>
      </c>
      <c r="B1478" s="14" t="str">
        <f aca="false">IF(A1478="","",Prices!C1478)</f>
        <v/>
      </c>
      <c r="C1478" s="15" t="str">
        <f aca="false">IF(A1478="","",IFERROR(INDEX(FX!$B:$B,MATCH(A1478,FX!$A:$A,1)),""))</f>
        <v/>
      </c>
      <c r="D1478" s="14" t="str">
        <f aca="false">IF(A1478="","",SUMIFS(Transactions!$D:$D,Transactions!$A:$A,"&lt;="&amp;A1478,Transactions!$B:$B,Settings!$B$1))</f>
        <v/>
      </c>
      <c r="E1478" s="14" t="str">
        <f aca="false">IF(A1478="","",SUMIFS(Transactions!$C:$C,Transactions!$A:$A,"&lt;="&amp;A1478,Transactions!$B:$B,Settings!$B$1)+SUMIFS(Transactions!$F:$F,Transactions!$A:$A,"&lt;="&amp;A1478,Transactions!$B:$B,Settings!$B$1))</f>
        <v/>
      </c>
      <c r="F1478" s="14" t="str">
        <f aca="false">IF(A1478="","",IF(C1478="","",D1478*B1478*C1478))</f>
        <v/>
      </c>
      <c r="G1478" s="14" t="str">
        <f aca="false">IF(F1478="","",F1478-E1478)</f>
        <v/>
      </c>
      <c r="H1478" s="14" t="str">
        <f aca="false">IF(F1478="","",IFERROR(F1478-F1477-(E1478-E1477),0))</f>
        <v/>
      </c>
    </row>
    <row r="1479" customFormat="false" ht="15" hidden="false" customHeight="false" outlineLevel="0" collapsed="false">
      <c r="A1479" s="13" t="str">
        <f aca="false">IF(Prices!A1479="","",Prices!A1479)</f>
        <v/>
      </c>
      <c r="B1479" s="14" t="str">
        <f aca="false">IF(A1479="","",Prices!C1479)</f>
        <v/>
      </c>
      <c r="C1479" s="15" t="str">
        <f aca="false">IF(A1479="","",IFERROR(INDEX(FX!$B:$B,MATCH(A1479,FX!$A:$A,1)),""))</f>
        <v/>
      </c>
      <c r="D1479" s="14" t="str">
        <f aca="false">IF(A1479="","",SUMIFS(Transactions!$D:$D,Transactions!$A:$A,"&lt;="&amp;A1479,Transactions!$B:$B,Settings!$B$1))</f>
        <v/>
      </c>
      <c r="E1479" s="14" t="str">
        <f aca="false">IF(A1479="","",SUMIFS(Transactions!$C:$C,Transactions!$A:$A,"&lt;="&amp;A1479,Transactions!$B:$B,Settings!$B$1)+SUMIFS(Transactions!$F:$F,Transactions!$A:$A,"&lt;="&amp;A1479,Transactions!$B:$B,Settings!$B$1))</f>
        <v/>
      </c>
      <c r="F1479" s="14" t="str">
        <f aca="false">IF(A1479="","",IF(C1479="","",D1479*B1479*C1479))</f>
        <v/>
      </c>
      <c r="G1479" s="14" t="str">
        <f aca="false">IF(F1479="","",F1479-E1479)</f>
        <v/>
      </c>
      <c r="H1479" s="14" t="str">
        <f aca="false">IF(F1479="","",IFERROR(F1479-F1478-(E1479-E1478),0))</f>
        <v/>
      </c>
    </row>
    <row r="1480" customFormat="false" ht="15" hidden="false" customHeight="false" outlineLevel="0" collapsed="false">
      <c r="A1480" s="13" t="str">
        <f aca="false">IF(Prices!A1480="","",Prices!A1480)</f>
        <v/>
      </c>
      <c r="B1480" s="14" t="str">
        <f aca="false">IF(A1480="","",Prices!C1480)</f>
        <v/>
      </c>
      <c r="C1480" s="15" t="str">
        <f aca="false">IF(A1480="","",IFERROR(INDEX(FX!$B:$B,MATCH(A1480,FX!$A:$A,1)),""))</f>
        <v/>
      </c>
      <c r="D1480" s="14" t="str">
        <f aca="false">IF(A1480="","",SUMIFS(Transactions!$D:$D,Transactions!$A:$A,"&lt;="&amp;A1480,Transactions!$B:$B,Settings!$B$1))</f>
        <v/>
      </c>
      <c r="E1480" s="14" t="str">
        <f aca="false">IF(A1480="","",SUMIFS(Transactions!$C:$C,Transactions!$A:$A,"&lt;="&amp;A1480,Transactions!$B:$B,Settings!$B$1)+SUMIFS(Transactions!$F:$F,Transactions!$A:$A,"&lt;="&amp;A1480,Transactions!$B:$B,Settings!$B$1))</f>
        <v/>
      </c>
      <c r="F1480" s="14" t="str">
        <f aca="false">IF(A1480="","",IF(C1480="","",D1480*B1480*C1480))</f>
        <v/>
      </c>
      <c r="G1480" s="14" t="str">
        <f aca="false">IF(F1480="","",F1480-E1480)</f>
        <v/>
      </c>
      <c r="H1480" s="14" t="str">
        <f aca="false">IF(F1480="","",IFERROR(F1480-F1479-(E1480-E1479),0))</f>
        <v/>
      </c>
    </row>
    <row r="1481" customFormat="false" ht="15" hidden="false" customHeight="false" outlineLevel="0" collapsed="false">
      <c r="A1481" s="13" t="str">
        <f aca="false">IF(Prices!A1481="","",Prices!A1481)</f>
        <v/>
      </c>
      <c r="B1481" s="14" t="str">
        <f aca="false">IF(A1481="","",Prices!C1481)</f>
        <v/>
      </c>
      <c r="C1481" s="15" t="str">
        <f aca="false">IF(A1481="","",IFERROR(INDEX(FX!$B:$B,MATCH(A1481,FX!$A:$A,1)),""))</f>
        <v/>
      </c>
      <c r="D1481" s="14" t="str">
        <f aca="false">IF(A1481="","",SUMIFS(Transactions!$D:$D,Transactions!$A:$A,"&lt;="&amp;A1481,Transactions!$B:$B,Settings!$B$1))</f>
        <v/>
      </c>
      <c r="E1481" s="14" t="str">
        <f aca="false">IF(A1481="","",SUMIFS(Transactions!$C:$C,Transactions!$A:$A,"&lt;="&amp;A1481,Transactions!$B:$B,Settings!$B$1)+SUMIFS(Transactions!$F:$F,Transactions!$A:$A,"&lt;="&amp;A1481,Transactions!$B:$B,Settings!$B$1))</f>
        <v/>
      </c>
      <c r="F1481" s="14" t="str">
        <f aca="false">IF(A1481="","",IF(C1481="","",D1481*B1481*C1481))</f>
        <v/>
      </c>
      <c r="G1481" s="14" t="str">
        <f aca="false">IF(F1481="","",F1481-E1481)</f>
        <v/>
      </c>
      <c r="H1481" s="14" t="str">
        <f aca="false">IF(F1481="","",IFERROR(F1481-F1480-(E1481-E1480),0))</f>
        <v/>
      </c>
    </row>
    <row r="1482" customFormat="false" ht="15" hidden="false" customHeight="false" outlineLevel="0" collapsed="false">
      <c r="A1482" s="13" t="str">
        <f aca="false">IF(Prices!A1482="","",Prices!A1482)</f>
        <v/>
      </c>
      <c r="B1482" s="14" t="str">
        <f aca="false">IF(A1482="","",Prices!C1482)</f>
        <v/>
      </c>
      <c r="C1482" s="15" t="str">
        <f aca="false">IF(A1482="","",IFERROR(INDEX(FX!$B:$B,MATCH(A1482,FX!$A:$A,1)),""))</f>
        <v/>
      </c>
      <c r="D1482" s="14" t="str">
        <f aca="false">IF(A1482="","",SUMIFS(Transactions!$D:$D,Transactions!$A:$A,"&lt;="&amp;A1482,Transactions!$B:$B,Settings!$B$1))</f>
        <v/>
      </c>
      <c r="E1482" s="14" t="str">
        <f aca="false">IF(A1482="","",SUMIFS(Transactions!$C:$C,Transactions!$A:$A,"&lt;="&amp;A1482,Transactions!$B:$B,Settings!$B$1)+SUMIFS(Transactions!$F:$F,Transactions!$A:$A,"&lt;="&amp;A1482,Transactions!$B:$B,Settings!$B$1))</f>
        <v/>
      </c>
      <c r="F1482" s="14" t="str">
        <f aca="false">IF(A1482="","",IF(C1482="","",D1482*B1482*C1482))</f>
        <v/>
      </c>
      <c r="G1482" s="14" t="str">
        <f aca="false">IF(F1482="","",F1482-E1482)</f>
        <v/>
      </c>
      <c r="H1482" s="14" t="str">
        <f aca="false">IF(F1482="","",IFERROR(F1482-F1481-(E1482-E1481),0))</f>
        <v/>
      </c>
    </row>
    <row r="1483" customFormat="false" ht="15" hidden="false" customHeight="false" outlineLevel="0" collapsed="false">
      <c r="A1483" s="13" t="str">
        <f aca="false">IF(Prices!A1483="","",Prices!A1483)</f>
        <v/>
      </c>
      <c r="B1483" s="14" t="str">
        <f aca="false">IF(A1483="","",Prices!C1483)</f>
        <v/>
      </c>
      <c r="C1483" s="15" t="str">
        <f aca="false">IF(A1483="","",IFERROR(INDEX(FX!$B:$B,MATCH(A1483,FX!$A:$A,1)),""))</f>
        <v/>
      </c>
      <c r="D1483" s="14" t="str">
        <f aca="false">IF(A1483="","",SUMIFS(Transactions!$D:$D,Transactions!$A:$A,"&lt;="&amp;A1483,Transactions!$B:$B,Settings!$B$1))</f>
        <v/>
      </c>
      <c r="E1483" s="14" t="str">
        <f aca="false">IF(A1483="","",SUMIFS(Transactions!$C:$C,Transactions!$A:$A,"&lt;="&amp;A1483,Transactions!$B:$B,Settings!$B$1)+SUMIFS(Transactions!$F:$F,Transactions!$A:$A,"&lt;="&amp;A1483,Transactions!$B:$B,Settings!$B$1))</f>
        <v/>
      </c>
      <c r="F1483" s="14" t="str">
        <f aca="false">IF(A1483="","",IF(C1483="","",D1483*B1483*C1483))</f>
        <v/>
      </c>
      <c r="G1483" s="14" t="str">
        <f aca="false">IF(F1483="","",F1483-E1483)</f>
        <v/>
      </c>
      <c r="H1483" s="14" t="str">
        <f aca="false">IF(F1483="","",IFERROR(F1483-F1482-(E1483-E1482),0))</f>
        <v/>
      </c>
    </row>
    <row r="1484" customFormat="false" ht="15" hidden="false" customHeight="false" outlineLevel="0" collapsed="false">
      <c r="A1484" s="13" t="str">
        <f aca="false">IF(Prices!A1484="","",Prices!A1484)</f>
        <v/>
      </c>
      <c r="B1484" s="14" t="str">
        <f aca="false">IF(A1484="","",Prices!C1484)</f>
        <v/>
      </c>
      <c r="C1484" s="15" t="str">
        <f aca="false">IF(A1484="","",IFERROR(INDEX(FX!$B:$B,MATCH(A1484,FX!$A:$A,1)),""))</f>
        <v/>
      </c>
      <c r="D1484" s="14" t="str">
        <f aca="false">IF(A1484="","",SUMIFS(Transactions!$D:$D,Transactions!$A:$A,"&lt;="&amp;A1484,Transactions!$B:$B,Settings!$B$1))</f>
        <v/>
      </c>
      <c r="E1484" s="14" t="str">
        <f aca="false">IF(A1484="","",SUMIFS(Transactions!$C:$C,Transactions!$A:$A,"&lt;="&amp;A1484,Transactions!$B:$B,Settings!$B$1)+SUMIFS(Transactions!$F:$F,Transactions!$A:$A,"&lt;="&amp;A1484,Transactions!$B:$B,Settings!$B$1))</f>
        <v/>
      </c>
      <c r="F1484" s="14" t="str">
        <f aca="false">IF(A1484="","",IF(C1484="","",D1484*B1484*C1484))</f>
        <v/>
      </c>
      <c r="G1484" s="14" t="str">
        <f aca="false">IF(F1484="","",F1484-E1484)</f>
        <v/>
      </c>
      <c r="H1484" s="14" t="str">
        <f aca="false">IF(F1484="","",IFERROR(F1484-F1483-(E1484-E1483),0))</f>
        <v/>
      </c>
    </row>
    <row r="1485" customFormat="false" ht="15" hidden="false" customHeight="false" outlineLevel="0" collapsed="false">
      <c r="A1485" s="13" t="str">
        <f aca="false">IF(Prices!A1485="","",Prices!A1485)</f>
        <v/>
      </c>
      <c r="B1485" s="14" t="str">
        <f aca="false">IF(A1485="","",Prices!C1485)</f>
        <v/>
      </c>
      <c r="C1485" s="15" t="str">
        <f aca="false">IF(A1485="","",IFERROR(INDEX(FX!$B:$B,MATCH(A1485,FX!$A:$A,1)),""))</f>
        <v/>
      </c>
      <c r="D1485" s="14" t="str">
        <f aca="false">IF(A1485="","",SUMIFS(Transactions!$D:$D,Transactions!$A:$A,"&lt;="&amp;A1485,Transactions!$B:$B,Settings!$B$1))</f>
        <v/>
      </c>
      <c r="E1485" s="14" t="str">
        <f aca="false">IF(A1485="","",SUMIFS(Transactions!$C:$C,Transactions!$A:$A,"&lt;="&amp;A1485,Transactions!$B:$B,Settings!$B$1)+SUMIFS(Transactions!$F:$F,Transactions!$A:$A,"&lt;="&amp;A1485,Transactions!$B:$B,Settings!$B$1))</f>
        <v/>
      </c>
      <c r="F1485" s="14" t="str">
        <f aca="false">IF(A1485="","",IF(C1485="","",D1485*B1485*C1485))</f>
        <v/>
      </c>
      <c r="G1485" s="14" t="str">
        <f aca="false">IF(F1485="","",F1485-E1485)</f>
        <v/>
      </c>
      <c r="H1485" s="14" t="str">
        <f aca="false">IF(F1485="","",IFERROR(F1485-F1484-(E1485-E1484),0))</f>
        <v/>
      </c>
    </row>
    <row r="1486" customFormat="false" ht="15" hidden="false" customHeight="false" outlineLevel="0" collapsed="false">
      <c r="A1486" s="13" t="str">
        <f aca="false">IF(Prices!A1486="","",Prices!A1486)</f>
        <v/>
      </c>
      <c r="B1486" s="14" t="str">
        <f aca="false">IF(A1486="","",Prices!C1486)</f>
        <v/>
      </c>
      <c r="C1486" s="15" t="str">
        <f aca="false">IF(A1486="","",IFERROR(INDEX(FX!$B:$B,MATCH(A1486,FX!$A:$A,1)),""))</f>
        <v/>
      </c>
      <c r="D1486" s="14" t="str">
        <f aca="false">IF(A1486="","",SUMIFS(Transactions!$D:$D,Transactions!$A:$A,"&lt;="&amp;A1486,Transactions!$B:$B,Settings!$B$1))</f>
        <v/>
      </c>
      <c r="E1486" s="14" t="str">
        <f aca="false">IF(A1486="","",SUMIFS(Transactions!$C:$C,Transactions!$A:$A,"&lt;="&amp;A1486,Transactions!$B:$B,Settings!$B$1)+SUMIFS(Transactions!$F:$F,Transactions!$A:$A,"&lt;="&amp;A1486,Transactions!$B:$B,Settings!$B$1))</f>
        <v/>
      </c>
      <c r="F1486" s="14" t="str">
        <f aca="false">IF(A1486="","",IF(C1486="","",D1486*B1486*C1486))</f>
        <v/>
      </c>
      <c r="G1486" s="14" t="str">
        <f aca="false">IF(F1486="","",F1486-E1486)</f>
        <v/>
      </c>
      <c r="H1486" s="14" t="str">
        <f aca="false">IF(F1486="","",IFERROR(F1486-F1485-(E1486-E1485),0))</f>
        <v/>
      </c>
    </row>
    <row r="1487" customFormat="false" ht="15" hidden="false" customHeight="false" outlineLevel="0" collapsed="false">
      <c r="A1487" s="13" t="str">
        <f aca="false">IF(Prices!A1487="","",Prices!A1487)</f>
        <v/>
      </c>
      <c r="B1487" s="14" t="str">
        <f aca="false">IF(A1487="","",Prices!C1487)</f>
        <v/>
      </c>
      <c r="C1487" s="15" t="str">
        <f aca="false">IF(A1487="","",IFERROR(INDEX(FX!$B:$B,MATCH(A1487,FX!$A:$A,1)),""))</f>
        <v/>
      </c>
      <c r="D1487" s="14" t="str">
        <f aca="false">IF(A1487="","",SUMIFS(Transactions!$D:$D,Transactions!$A:$A,"&lt;="&amp;A1487,Transactions!$B:$B,Settings!$B$1))</f>
        <v/>
      </c>
      <c r="E1487" s="14" t="str">
        <f aca="false">IF(A1487="","",SUMIFS(Transactions!$C:$C,Transactions!$A:$A,"&lt;="&amp;A1487,Transactions!$B:$B,Settings!$B$1)+SUMIFS(Transactions!$F:$F,Transactions!$A:$A,"&lt;="&amp;A1487,Transactions!$B:$B,Settings!$B$1))</f>
        <v/>
      </c>
      <c r="F1487" s="14" t="str">
        <f aca="false">IF(A1487="","",IF(C1487="","",D1487*B1487*C1487))</f>
        <v/>
      </c>
      <c r="G1487" s="14" t="str">
        <f aca="false">IF(F1487="","",F1487-E1487)</f>
        <v/>
      </c>
      <c r="H1487" s="14" t="str">
        <f aca="false">IF(F1487="","",IFERROR(F1487-F1486-(E1487-E1486),0))</f>
        <v/>
      </c>
    </row>
    <row r="1488" customFormat="false" ht="15" hidden="false" customHeight="false" outlineLevel="0" collapsed="false">
      <c r="A1488" s="13" t="str">
        <f aca="false">IF(Prices!A1488="","",Prices!A1488)</f>
        <v/>
      </c>
      <c r="B1488" s="14" t="str">
        <f aca="false">IF(A1488="","",Prices!C1488)</f>
        <v/>
      </c>
      <c r="C1488" s="15" t="str">
        <f aca="false">IF(A1488="","",IFERROR(INDEX(FX!$B:$B,MATCH(A1488,FX!$A:$A,1)),""))</f>
        <v/>
      </c>
      <c r="D1488" s="14" t="str">
        <f aca="false">IF(A1488="","",SUMIFS(Transactions!$D:$D,Transactions!$A:$A,"&lt;="&amp;A1488,Transactions!$B:$B,Settings!$B$1))</f>
        <v/>
      </c>
      <c r="E1488" s="14" t="str">
        <f aca="false">IF(A1488="","",SUMIFS(Transactions!$C:$C,Transactions!$A:$A,"&lt;="&amp;A1488,Transactions!$B:$B,Settings!$B$1)+SUMIFS(Transactions!$F:$F,Transactions!$A:$A,"&lt;="&amp;A1488,Transactions!$B:$B,Settings!$B$1))</f>
        <v/>
      </c>
      <c r="F1488" s="14" t="str">
        <f aca="false">IF(A1488="","",IF(C1488="","",D1488*B1488*C1488))</f>
        <v/>
      </c>
      <c r="G1488" s="14" t="str">
        <f aca="false">IF(F1488="","",F1488-E1488)</f>
        <v/>
      </c>
      <c r="H1488" s="14" t="str">
        <f aca="false">IF(F1488="","",IFERROR(F1488-F1487-(E1488-E1487),0))</f>
        <v/>
      </c>
    </row>
    <row r="1489" customFormat="false" ht="15" hidden="false" customHeight="false" outlineLevel="0" collapsed="false">
      <c r="A1489" s="13" t="str">
        <f aca="false">IF(Prices!A1489="","",Prices!A1489)</f>
        <v/>
      </c>
      <c r="B1489" s="14" t="str">
        <f aca="false">IF(A1489="","",Prices!C1489)</f>
        <v/>
      </c>
      <c r="C1489" s="15" t="str">
        <f aca="false">IF(A1489="","",IFERROR(INDEX(FX!$B:$B,MATCH(A1489,FX!$A:$A,1)),""))</f>
        <v/>
      </c>
      <c r="D1489" s="14" t="str">
        <f aca="false">IF(A1489="","",SUMIFS(Transactions!$D:$D,Transactions!$A:$A,"&lt;="&amp;A1489,Transactions!$B:$B,Settings!$B$1))</f>
        <v/>
      </c>
      <c r="E1489" s="14" t="str">
        <f aca="false">IF(A1489="","",SUMIFS(Transactions!$C:$C,Transactions!$A:$A,"&lt;="&amp;A1489,Transactions!$B:$B,Settings!$B$1)+SUMIFS(Transactions!$F:$F,Transactions!$A:$A,"&lt;="&amp;A1489,Transactions!$B:$B,Settings!$B$1))</f>
        <v/>
      </c>
      <c r="F1489" s="14" t="str">
        <f aca="false">IF(A1489="","",IF(C1489="","",D1489*B1489*C1489))</f>
        <v/>
      </c>
      <c r="G1489" s="14" t="str">
        <f aca="false">IF(F1489="","",F1489-E1489)</f>
        <v/>
      </c>
      <c r="H1489" s="14" t="str">
        <f aca="false">IF(F1489="","",IFERROR(F1489-F1488-(E1489-E1488),0))</f>
        <v/>
      </c>
    </row>
    <row r="1490" customFormat="false" ht="15" hidden="false" customHeight="false" outlineLevel="0" collapsed="false">
      <c r="A1490" s="13" t="str">
        <f aca="false">IF(Prices!A1490="","",Prices!A1490)</f>
        <v/>
      </c>
      <c r="B1490" s="14" t="str">
        <f aca="false">IF(A1490="","",Prices!C1490)</f>
        <v/>
      </c>
      <c r="C1490" s="15" t="str">
        <f aca="false">IF(A1490="","",IFERROR(INDEX(FX!$B:$B,MATCH(A1490,FX!$A:$A,1)),""))</f>
        <v/>
      </c>
      <c r="D1490" s="14" t="str">
        <f aca="false">IF(A1490="","",SUMIFS(Transactions!$D:$D,Transactions!$A:$A,"&lt;="&amp;A1490,Transactions!$B:$B,Settings!$B$1))</f>
        <v/>
      </c>
      <c r="E1490" s="14" t="str">
        <f aca="false">IF(A1490="","",SUMIFS(Transactions!$C:$C,Transactions!$A:$A,"&lt;="&amp;A1490,Transactions!$B:$B,Settings!$B$1)+SUMIFS(Transactions!$F:$F,Transactions!$A:$A,"&lt;="&amp;A1490,Transactions!$B:$B,Settings!$B$1))</f>
        <v/>
      </c>
      <c r="F1490" s="14" t="str">
        <f aca="false">IF(A1490="","",IF(C1490="","",D1490*B1490*C1490))</f>
        <v/>
      </c>
      <c r="G1490" s="14" t="str">
        <f aca="false">IF(F1490="","",F1490-E1490)</f>
        <v/>
      </c>
      <c r="H1490" s="14" t="str">
        <f aca="false">IF(F1490="","",IFERROR(F1490-F1489-(E1490-E1489),0))</f>
        <v/>
      </c>
    </row>
    <row r="1491" customFormat="false" ht="15" hidden="false" customHeight="false" outlineLevel="0" collapsed="false">
      <c r="A1491" s="13" t="str">
        <f aca="false">IF(Prices!A1491="","",Prices!A1491)</f>
        <v/>
      </c>
      <c r="B1491" s="14" t="str">
        <f aca="false">IF(A1491="","",Prices!C1491)</f>
        <v/>
      </c>
      <c r="C1491" s="15" t="str">
        <f aca="false">IF(A1491="","",IFERROR(INDEX(FX!$B:$B,MATCH(A1491,FX!$A:$A,1)),""))</f>
        <v/>
      </c>
      <c r="D1491" s="14" t="str">
        <f aca="false">IF(A1491="","",SUMIFS(Transactions!$D:$D,Transactions!$A:$A,"&lt;="&amp;A1491,Transactions!$B:$B,Settings!$B$1))</f>
        <v/>
      </c>
      <c r="E1491" s="14" t="str">
        <f aca="false">IF(A1491="","",SUMIFS(Transactions!$C:$C,Transactions!$A:$A,"&lt;="&amp;A1491,Transactions!$B:$B,Settings!$B$1)+SUMIFS(Transactions!$F:$F,Transactions!$A:$A,"&lt;="&amp;A1491,Transactions!$B:$B,Settings!$B$1))</f>
        <v/>
      </c>
      <c r="F1491" s="14" t="str">
        <f aca="false">IF(A1491="","",IF(C1491="","",D1491*B1491*C1491))</f>
        <v/>
      </c>
      <c r="G1491" s="14" t="str">
        <f aca="false">IF(F1491="","",F1491-E1491)</f>
        <v/>
      </c>
      <c r="H1491" s="14" t="str">
        <f aca="false">IF(F1491="","",IFERROR(F1491-F1490-(E1491-E1490),0))</f>
        <v/>
      </c>
    </row>
    <row r="1492" customFormat="false" ht="15" hidden="false" customHeight="false" outlineLevel="0" collapsed="false">
      <c r="A1492" s="13" t="str">
        <f aca="false">IF(Prices!A1492="","",Prices!A1492)</f>
        <v/>
      </c>
      <c r="B1492" s="14" t="str">
        <f aca="false">IF(A1492="","",Prices!C1492)</f>
        <v/>
      </c>
      <c r="C1492" s="15" t="str">
        <f aca="false">IF(A1492="","",IFERROR(INDEX(FX!$B:$B,MATCH(A1492,FX!$A:$A,1)),""))</f>
        <v/>
      </c>
      <c r="D1492" s="14" t="str">
        <f aca="false">IF(A1492="","",SUMIFS(Transactions!$D:$D,Transactions!$A:$A,"&lt;="&amp;A1492,Transactions!$B:$B,Settings!$B$1))</f>
        <v/>
      </c>
      <c r="E1492" s="14" t="str">
        <f aca="false">IF(A1492="","",SUMIFS(Transactions!$C:$C,Transactions!$A:$A,"&lt;="&amp;A1492,Transactions!$B:$B,Settings!$B$1)+SUMIFS(Transactions!$F:$F,Transactions!$A:$A,"&lt;="&amp;A1492,Transactions!$B:$B,Settings!$B$1))</f>
        <v/>
      </c>
      <c r="F1492" s="14" t="str">
        <f aca="false">IF(A1492="","",IF(C1492="","",D1492*B1492*C1492))</f>
        <v/>
      </c>
      <c r="G1492" s="14" t="str">
        <f aca="false">IF(F1492="","",F1492-E1492)</f>
        <v/>
      </c>
      <c r="H1492" s="14" t="str">
        <f aca="false">IF(F1492="","",IFERROR(F1492-F1491-(E1492-E1491),0))</f>
        <v/>
      </c>
    </row>
    <row r="1493" customFormat="false" ht="15" hidden="false" customHeight="false" outlineLevel="0" collapsed="false">
      <c r="A1493" s="13" t="str">
        <f aca="false">IF(Prices!A1493="","",Prices!A1493)</f>
        <v/>
      </c>
      <c r="B1493" s="14" t="str">
        <f aca="false">IF(A1493="","",Prices!C1493)</f>
        <v/>
      </c>
      <c r="C1493" s="15" t="str">
        <f aca="false">IF(A1493="","",IFERROR(INDEX(FX!$B:$B,MATCH(A1493,FX!$A:$A,1)),""))</f>
        <v/>
      </c>
      <c r="D1493" s="14" t="str">
        <f aca="false">IF(A1493="","",SUMIFS(Transactions!$D:$D,Transactions!$A:$A,"&lt;="&amp;A1493,Transactions!$B:$B,Settings!$B$1))</f>
        <v/>
      </c>
      <c r="E1493" s="14" t="str">
        <f aca="false">IF(A1493="","",SUMIFS(Transactions!$C:$C,Transactions!$A:$A,"&lt;="&amp;A1493,Transactions!$B:$B,Settings!$B$1)+SUMIFS(Transactions!$F:$F,Transactions!$A:$A,"&lt;="&amp;A1493,Transactions!$B:$B,Settings!$B$1))</f>
        <v/>
      </c>
      <c r="F1493" s="14" t="str">
        <f aca="false">IF(A1493="","",IF(C1493="","",D1493*B1493*C1493))</f>
        <v/>
      </c>
      <c r="G1493" s="14" t="str">
        <f aca="false">IF(F1493="","",F1493-E1493)</f>
        <v/>
      </c>
      <c r="H1493" s="14" t="str">
        <f aca="false">IF(F1493="","",IFERROR(F1493-F1492-(E1493-E1492),0))</f>
        <v/>
      </c>
    </row>
    <row r="1494" customFormat="false" ht="15" hidden="false" customHeight="false" outlineLevel="0" collapsed="false">
      <c r="A1494" s="13" t="str">
        <f aca="false">IF(Prices!A1494="","",Prices!A1494)</f>
        <v/>
      </c>
      <c r="B1494" s="14" t="str">
        <f aca="false">IF(A1494="","",Prices!C1494)</f>
        <v/>
      </c>
      <c r="C1494" s="15" t="str">
        <f aca="false">IF(A1494="","",IFERROR(INDEX(FX!$B:$B,MATCH(A1494,FX!$A:$A,1)),""))</f>
        <v/>
      </c>
      <c r="D1494" s="14" t="str">
        <f aca="false">IF(A1494="","",SUMIFS(Transactions!$D:$D,Transactions!$A:$A,"&lt;="&amp;A1494,Transactions!$B:$B,Settings!$B$1))</f>
        <v/>
      </c>
      <c r="E1494" s="14" t="str">
        <f aca="false">IF(A1494="","",SUMIFS(Transactions!$C:$C,Transactions!$A:$A,"&lt;="&amp;A1494,Transactions!$B:$B,Settings!$B$1)+SUMIFS(Transactions!$F:$F,Transactions!$A:$A,"&lt;="&amp;A1494,Transactions!$B:$B,Settings!$B$1))</f>
        <v/>
      </c>
      <c r="F1494" s="14" t="str">
        <f aca="false">IF(A1494="","",IF(C1494="","",D1494*B1494*C1494))</f>
        <v/>
      </c>
      <c r="G1494" s="14" t="str">
        <f aca="false">IF(F1494="","",F1494-E1494)</f>
        <v/>
      </c>
      <c r="H1494" s="14" t="str">
        <f aca="false">IF(F1494="","",IFERROR(F1494-F1493-(E1494-E1493),0))</f>
        <v/>
      </c>
    </row>
    <row r="1495" customFormat="false" ht="15" hidden="false" customHeight="false" outlineLevel="0" collapsed="false">
      <c r="A1495" s="13" t="str">
        <f aca="false">IF(Prices!A1495="","",Prices!A1495)</f>
        <v/>
      </c>
      <c r="B1495" s="14" t="str">
        <f aca="false">IF(A1495="","",Prices!C1495)</f>
        <v/>
      </c>
      <c r="C1495" s="15" t="str">
        <f aca="false">IF(A1495="","",IFERROR(INDEX(FX!$B:$B,MATCH(A1495,FX!$A:$A,1)),""))</f>
        <v/>
      </c>
      <c r="D1495" s="14" t="str">
        <f aca="false">IF(A1495="","",SUMIFS(Transactions!$D:$D,Transactions!$A:$A,"&lt;="&amp;A1495,Transactions!$B:$B,Settings!$B$1))</f>
        <v/>
      </c>
      <c r="E1495" s="14" t="str">
        <f aca="false">IF(A1495="","",SUMIFS(Transactions!$C:$C,Transactions!$A:$A,"&lt;="&amp;A1495,Transactions!$B:$B,Settings!$B$1)+SUMIFS(Transactions!$F:$F,Transactions!$A:$A,"&lt;="&amp;A1495,Transactions!$B:$B,Settings!$B$1))</f>
        <v/>
      </c>
      <c r="F1495" s="14" t="str">
        <f aca="false">IF(A1495="","",IF(C1495="","",D1495*B1495*C1495))</f>
        <v/>
      </c>
      <c r="G1495" s="14" t="str">
        <f aca="false">IF(F1495="","",F1495-E1495)</f>
        <v/>
      </c>
      <c r="H1495" s="14" t="str">
        <f aca="false">IF(F1495="","",IFERROR(F1495-F1494-(E1495-E1494),0))</f>
        <v/>
      </c>
    </row>
    <row r="1496" customFormat="false" ht="15" hidden="false" customHeight="false" outlineLevel="0" collapsed="false">
      <c r="A1496" s="13" t="str">
        <f aca="false">IF(Prices!A1496="","",Prices!A1496)</f>
        <v/>
      </c>
      <c r="B1496" s="14" t="str">
        <f aca="false">IF(A1496="","",Prices!C1496)</f>
        <v/>
      </c>
      <c r="C1496" s="15" t="str">
        <f aca="false">IF(A1496="","",IFERROR(INDEX(FX!$B:$B,MATCH(A1496,FX!$A:$A,1)),""))</f>
        <v/>
      </c>
      <c r="D1496" s="14" t="str">
        <f aca="false">IF(A1496="","",SUMIFS(Transactions!$D:$D,Transactions!$A:$A,"&lt;="&amp;A1496,Transactions!$B:$B,Settings!$B$1))</f>
        <v/>
      </c>
      <c r="E1496" s="14" t="str">
        <f aca="false">IF(A1496="","",SUMIFS(Transactions!$C:$C,Transactions!$A:$A,"&lt;="&amp;A1496,Transactions!$B:$B,Settings!$B$1)+SUMIFS(Transactions!$F:$F,Transactions!$A:$A,"&lt;="&amp;A1496,Transactions!$B:$B,Settings!$B$1))</f>
        <v/>
      </c>
      <c r="F1496" s="14" t="str">
        <f aca="false">IF(A1496="","",IF(C1496="","",D1496*B1496*C1496))</f>
        <v/>
      </c>
      <c r="G1496" s="14" t="str">
        <f aca="false">IF(F1496="","",F1496-E1496)</f>
        <v/>
      </c>
      <c r="H1496" s="14" t="str">
        <f aca="false">IF(F1496="","",IFERROR(F1496-F1495-(E1496-E1495),0))</f>
        <v/>
      </c>
    </row>
    <row r="1497" customFormat="false" ht="15" hidden="false" customHeight="false" outlineLevel="0" collapsed="false">
      <c r="A1497" s="13" t="str">
        <f aca="false">IF(Prices!A1497="","",Prices!A1497)</f>
        <v/>
      </c>
      <c r="B1497" s="14" t="str">
        <f aca="false">IF(A1497="","",Prices!C1497)</f>
        <v/>
      </c>
      <c r="C1497" s="15" t="str">
        <f aca="false">IF(A1497="","",IFERROR(INDEX(FX!$B:$B,MATCH(A1497,FX!$A:$A,1)),""))</f>
        <v/>
      </c>
      <c r="D1497" s="14" t="str">
        <f aca="false">IF(A1497="","",SUMIFS(Transactions!$D:$D,Transactions!$A:$A,"&lt;="&amp;A1497,Transactions!$B:$B,Settings!$B$1))</f>
        <v/>
      </c>
      <c r="E1497" s="14" t="str">
        <f aca="false">IF(A1497="","",SUMIFS(Transactions!$C:$C,Transactions!$A:$A,"&lt;="&amp;A1497,Transactions!$B:$B,Settings!$B$1)+SUMIFS(Transactions!$F:$F,Transactions!$A:$A,"&lt;="&amp;A1497,Transactions!$B:$B,Settings!$B$1))</f>
        <v/>
      </c>
      <c r="F1497" s="14" t="str">
        <f aca="false">IF(A1497="","",IF(C1497="","",D1497*B1497*C1497))</f>
        <v/>
      </c>
      <c r="G1497" s="14" t="str">
        <f aca="false">IF(F1497="","",F1497-E1497)</f>
        <v/>
      </c>
      <c r="H1497" s="14" t="str">
        <f aca="false">IF(F1497="","",IFERROR(F1497-F1496-(E1497-E1496),0))</f>
        <v/>
      </c>
    </row>
    <row r="1498" customFormat="false" ht="15" hidden="false" customHeight="false" outlineLevel="0" collapsed="false">
      <c r="A1498" s="13" t="str">
        <f aca="false">IF(Prices!A1498="","",Prices!A1498)</f>
        <v/>
      </c>
      <c r="B1498" s="14" t="str">
        <f aca="false">IF(A1498="","",Prices!C1498)</f>
        <v/>
      </c>
      <c r="C1498" s="15" t="str">
        <f aca="false">IF(A1498="","",IFERROR(INDEX(FX!$B:$B,MATCH(A1498,FX!$A:$A,1)),""))</f>
        <v/>
      </c>
      <c r="D1498" s="14" t="str">
        <f aca="false">IF(A1498="","",SUMIFS(Transactions!$D:$D,Transactions!$A:$A,"&lt;="&amp;A1498,Transactions!$B:$B,Settings!$B$1))</f>
        <v/>
      </c>
      <c r="E1498" s="14" t="str">
        <f aca="false">IF(A1498="","",SUMIFS(Transactions!$C:$C,Transactions!$A:$A,"&lt;="&amp;A1498,Transactions!$B:$B,Settings!$B$1)+SUMIFS(Transactions!$F:$F,Transactions!$A:$A,"&lt;="&amp;A1498,Transactions!$B:$B,Settings!$B$1))</f>
        <v/>
      </c>
      <c r="F1498" s="14" t="str">
        <f aca="false">IF(A1498="","",IF(C1498="","",D1498*B1498*C1498))</f>
        <v/>
      </c>
      <c r="G1498" s="14" t="str">
        <f aca="false">IF(F1498="","",F1498-E1498)</f>
        <v/>
      </c>
      <c r="H1498" s="14" t="str">
        <f aca="false">IF(F1498="","",IFERROR(F1498-F1497-(E1498-E1497),0))</f>
        <v/>
      </c>
    </row>
    <row r="1499" customFormat="false" ht="15" hidden="false" customHeight="false" outlineLevel="0" collapsed="false">
      <c r="A1499" s="13" t="str">
        <f aca="false">IF(Prices!A1499="","",Prices!A1499)</f>
        <v/>
      </c>
      <c r="B1499" s="14" t="str">
        <f aca="false">IF(A1499="","",Prices!C1499)</f>
        <v/>
      </c>
      <c r="C1499" s="15" t="str">
        <f aca="false">IF(A1499="","",IFERROR(INDEX(FX!$B:$B,MATCH(A1499,FX!$A:$A,1)),""))</f>
        <v/>
      </c>
      <c r="D1499" s="14" t="str">
        <f aca="false">IF(A1499="","",SUMIFS(Transactions!$D:$D,Transactions!$A:$A,"&lt;="&amp;A1499,Transactions!$B:$B,Settings!$B$1))</f>
        <v/>
      </c>
      <c r="E1499" s="14" t="str">
        <f aca="false">IF(A1499="","",SUMIFS(Transactions!$C:$C,Transactions!$A:$A,"&lt;="&amp;A1499,Transactions!$B:$B,Settings!$B$1)+SUMIFS(Transactions!$F:$F,Transactions!$A:$A,"&lt;="&amp;A1499,Transactions!$B:$B,Settings!$B$1))</f>
        <v/>
      </c>
      <c r="F1499" s="14" t="str">
        <f aca="false">IF(A1499="","",IF(C1499="","",D1499*B1499*C1499))</f>
        <v/>
      </c>
      <c r="G1499" s="14" t="str">
        <f aca="false">IF(F1499="","",F1499-E1499)</f>
        <v/>
      </c>
      <c r="H1499" s="14" t="str">
        <f aca="false">IF(F1499="","",IFERROR(F1499-F1498-(E1499-E1498),0))</f>
        <v/>
      </c>
    </row>
    <row r="1500" customFormat="false" ht="15" hidden="false" customHeight="false" outlineLevel="0" collapsed="false">
      <c r="A1500" s="13" t="str">
        <f aca="false">IF(Prices!A1500="","",Prices!A1500)</f>
        <v/>
      </c>
      <c r="B1500" s="14" t="str">
        <f aca="false">IF(A1500="","",Prices!C1500)</f>
        <v/>
      </c>
      <c r="C1500" s="15" t="str">
        <f aca="false">IF(A1500="","",IFERROR(INDEX(FX!$B:$B,MATCH(A1500,FX!$A:$A,1)),""))</f>
        <v/>
      </c>
      <c r="D1500" s="14" t="str">
        <f aca="false">IF(A1500="","",SUMIFS(Transactions!$D:$D,Transactions!$A:$A,"&lt;="&amp;A1500,Transactions!$B:$B,Settings!$B$1))</f>
        <v/>
      </c>
      <c r="E1500" s="14" t="str">
        <f aca="false">IF(A1500="","",SUMIFS(Transactions!$C:$C,Transactions!$A:$A,"&lt;="&amp;A1500,Transactions!$B:$B,Settings!$B$1)+SUMIFS(Transactions!$F:$F,Transactions!$A:$A,"&lt;="&amp;A1500,Transactions!$B:$B,Settings!$B$1))</f>
        <v/>
      </c>
      <c r="F1500" s="14" t="str">
        <f aca="false">IF(A1500="","",IF(C1500="","",D1500*B1500*C1500))</f>
        <v/>
      </c>
      <c r="G1500" s="14" t="str">
        <f aca="false">IF(F1500="","",F1500-E1500)</f>
        <v/>
      </c>
      <c r="H1500" s="14" t="str">
        <f aca="false">IF(F1500="","",IFERROR(F1500-F1499-(E1500-E1499),0))</f>
        <v/>
      </c>
    </row>
    <row r="1501" customFormat="false" ht="15" hidden="false" customHeight="false" outlineLevel="0" collapsed="false">
      <c r="A1501" s="13" t="str">
        <f aca="false">IF(Prices!A1501="","",Prices!A1501)</f>
        <v/>
      </c>
      <c r="B1501" s="14" t="str">
        <f aca="false">IF(A1501="","",Prices!C1501)</f>
        <v/>
      </c>
      <c r="C1501" s="15" t="str">
        <f aca="false">IF(A1501="","",IFERROR(INDEX(FX!$B:$B,MATCH(A1501,FX!$A:$A,1)),""))</f>
        <v/>
      </c>
      <c r="D1501" s="14" t="str">
        <f aca="false">IF(A1501="","",SUMIFS(Transactions!$D:$D,Transactions!$A:$A,"&lt;="&amp;A1501,Transactions!$B:$B,Settings!$B$1))</f>
        <v/>
      </c>
      <c r="E1501" s="14" t="str">
        <f aca="false">IF(A1501="","",SUMIFS(Transactions!$C:$C,Transactions!$A:$A,"&lt;="&amp;A1501,Transactions!$B:$B,Settings!$B$1)+SUMIFS(Transactions!$F:$F,Transactions!$A:$A,"&lt;="&amp;A1501,Transactions!$B:$B,Settings!$B$1))</f>
        <v/>
      </c>
      <c r="F1501" s="14" t="str">
        <f aca="false">IF(A1501="","",IF(C1501="","",D1501*B1501*C1501))</f>
        <v/>
      </c>
      <c r="G1501" s="14" t="str">
        <f aca="false">IF(F1501="","",F1501-E1501)</f>
        <v/>
      </c>
      <c r="H1501" s="14" t="str">
        <f aca="false">IF(F1501="","",IFERROR(F1501-F1500-(E1501-E1500),0))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2026-10-17T20:32:44Z</dcterms:created>
  <dc:creator>openpyxl</dc:creator>
  <dc:description/>
  <dc:language>en-US</dc:language>
  <cp:lastModifiedBy/>
  <dcterms:modified xsi:type="dcterms:W3CDTF">2026-10-17T20:32:44Z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